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a5705d64ee64f44/Documents/OA Robot/"/>
    </mc:Choice>
  </mc:AlternateContent>
  <xr:revisionPtr revIDLastSave="1057" documentId="13_ncr:1_{00AFFE32-489B-4CC2-9D57-0F0C894BA206}" xr6:coauthVersionLast="47" xr6:coauthVersionMax="47" xr10:uidLastSave="{C335B9B9-7C52-4597-8C22-5E6116629DB5}"/>
  <bookViews>
    <workbookView xWindow="-108" yWindow="-108" windowWidth="23256" windowHeight="13896" xr2:uid="{680F85FE-7009-46FF-BF5C-10DA0B68E903}"/>
  </bookViews>
  <sheets>
    <sheet name="Info_Robot Commands" sheetId="20" r:id="rId1"/>
    <sheet name="Default Settings" sheetId="18" r:id="rId2"/>
    <sheet name="Info_Lambdas" sheetId="1" r:id="rId3"/>
    <sheet name="Lambdas List" sheetId="14" r:id="rId4"/>
    <sheet name="Load Lambdas" sheetId="15" r:id="rId5"/>
    <sheet name="SpeedRun Steps" sheetId="21" r:id="rId6"/>
  </sheets>
  <functionGroups builtInGroupCount="19"/>
  <definedNames>
    <definedName name="_xleta.CELL" hidden="1" xlm="1">#NAME?</definedName>
    <definedName name="_xleta.COLUMN" hidden="1" xlm="1">#NAME?</definedName>
    <definedName name="_xleta.COUNT" hidden="1" xlm="1">#NAME?</definedName>
    <definedName name="_xleta.COUNTA" hidden="1" xlm="1">#NAME?</definedName>
    <definedName name="_xleta.MIN" hidden="1" xlm="1">#NAME?</definedName>
    <definedName name="_xleta.MODE" hidden="1" xlm="1">#NAME?</definedName>
    <definedName name="_xleta.OFFSET" hidden="1" xlm="1">#NAME?</definedName>
    <definedName name="_xleta.ROWS" hidden="1" xlm="1">#NAME?</definedName>
    <definedName name="_xleta.SUM" hidden="1" xlm="1">#NAME?</definedName>
    <definedName name="_xleta.T" hidden="1" xlm="1">#NAME?</definedName>
    <definedName name="_xleta.TEXT" hidden="1" xlm="1">#NAME?</definedName>
    <definedName name="_xleta.TYPE" hidden="1" xlm="1">#NAME?</definedName>
    <definedName name="_xleta.UNICHAR" hidden="1" xlm="1">#NAME?</definedName>
    <definedName name="_xleta.VALUE" hidden="1" xlm="1">#NAME?</definedName>
    <definedName name="_xlop.Actual" hidden="1" xlm="1">#NAME?</definedName>
    <definedName name="_xlop.aggregate_function" hidden="1" xlm="1">#NAME?</definedName>
    <definedName name="_xlop.attribute_name" hidden="1" xlm="1">#NAME?</definedName>
    <definedName name="_xlop.CleanData" hidden="1" xlm="1">#NAME?</definedName>
    <definedName name="_xlop.clMult" hidden="1" xlm="1">#NAME?</definedName>
    <definedName name="_xlop.colDelim" hidden="1" xlm="1">#NAME?</definedName>
    <definedName name="_xlop.ColMax" hidden="1" xlm="1">#NAME?</definedName>
    <definedName name="_xlop.ColMin" hidden="1" xlm="1">#NAME?</definedName>
    <definedName name="_xlop.column_index" hidden="1" xlm="1">#NAME?</definedName>
    <definedName name="_xlop.ColumnArray" hidden="1" xlm="1">#NAME?</definedName>
    <definedName name="_xlop.columns_to_unpivot" hidden="1" xlm="1">#NAME?</definedName>
    <definedName name="_xlop.criteria" hidden="1" xlm="1">#NAME?</definedName>
    <definedName name="_xlop.criterion" hidden="1" xlm="1">#NAME?</definedName>
    <definedName name="_xlop.default" hidden="1" xlm="1">#NAME?</definedName>
    <definedName name="_xlop.delimiter" hidden="1" xlm="1">#NAME?</definedName>
    <definedName name="_xlop.Dist_NoDiags_Pythag" hidden="1" xlm="1">#NAME?</definedName>
    <definedName name="_xlop.DistanceType" hidden="1" xlm="1">#NAME?</definedName>
    <definedName name="_xlop.exclude" hidden="1" xlm="1">#NAME?</definedName>
    <definedName name="_xlop.fill" hidden="1" xlm="1">#NAME?</definedName>
    <definedName name="_xlop.Flatten" hidden="1" xlm="1">#NAME?</definedName>
    <definedName name="_xlop.has_headers" hidden="1" xlm="1">#NAME?</definedName>
    <definedName name="_xlop.horizontal" hidden="1" xlm="1">#NAME?</definedName>
    <definedName name="_xlop.id" hidden="1" xlm="1">#NAME?</definedName>
    <definedName name="_xlop.IfNotFound" hidden="1" xlm="1">#NAME?</definedName>
    <definedName name="_xlop.ignore_commas" hidden="1" xlm="1">#NAME?</definedName>
    <definedName name="_xlop.In" hidden="1" xlm="1">#NAME?</definedName>
    <definedName name="_xlop.include_grand_total" hidden="1" xlm="1">#NAME?</definedName>
    <definedName name="_xlop.item" hidden="1" xlm="1">#NAME?</definedName>
    <definedName name="_xlop.len" hidden="1" xlm="1">#NAME?</definedName>
    <definedName name="_xlop.lookup_output" hidden="1" xlm="1">#NAME?</definedName>
    <definedName name="_xlop.MatchMode" hidden="1" xlm="1">#NAME?</definedName>
    <definedName name="_xlop.n" hidden="1" xlm="1">#NAME?</definedName>
    <definedName name="_xlop.n_horiz" hidden="1" xlm="1">#NAME?</definedName>
    <definedName name="_xlop.One_nodiagonal_Two_Pythag" hidden="1" xlm="1">#NAME?</definedName>
    <definedName name="_xlop.only" hidden="1" xlm="1">#NAME?</definedName>
    <definedName name="_xlop.ord" hidden="1" xlm="1">#NAME?</definedName>
    <definedName name="_xlop.Order" hidden="1" xlm="1">#NAME?</definedName>
    <definedName name="_xlop.Order_RCaa_CRaa_RCad_CRad_RCda_CRda_RCdd_CRdd" hidden="1" xlm="1">#NAME?</definedName>
    <definedName name="_xlop.Out" hidden="1" xlm="1">#NAME?</definedName>
    <definedName name="_xlop.P0C1" hidden="1" xlm="1">#NAME?</definedName>
    <definedName name="_xlop.pad_with" hidden="1" xlm="1">#NAME?</definedName>
    <definedName name="_xlop.posx" hidden="1" xlm="1">#NAME?</definedName>
    <definedName name="_xlop.posy" hidden="1" xlm="1">#NAME?</definedName>
    <definedName name="_xlop.remove_blanks" hidden="1" xlm="1">#NAME?</definedName>
    <definedName name="_xlop.remove_columns" hidden="1" xlm="1">#NAME?</definedName>
    <definedName name="_xlop.remove_rows" hidden="1" xlm="1">#NAME?</definedName>
    <definedName name="_xlop.rep" hidden="1" xlm="1">#NAME?</definedName>
    <definedName name="_xlop.return_type" hidden="1" xlm="1">#NAME?</definedName>
    <definedName name="_xlop.RowArray" hidden="1" xlm="1">#NAME?</definedName>
    <definedName name="_xlop.rowDelim" hidden="1" xlm="1">#NAME?</definedName>
    <definedName name="_xlop.RowMax" hidden="1" xlm="1">#NAME?</definedName>
    <definedName name="_xlop.RowMin" hidden="1" xlm="1">#NAME?</definedName>
    <definedName name="_xlop.rwMult" hidden="1" xlm="1">#NAME?</definedName>
    <definedName name="_xlop.SearchMode" hidden="1" xlm="1">#NAME?</definedName>
    <definedName name="_xlop.sheetname" hidden="1" xlm="1">#NAME?</definedName>
    <definedName name="_xlop.ShowAll_0" hidden="1" xlm="1">#NAME?</definedName>
    <definedName name="_xlop.split" hidden="1" xlm="1">#NAME?</definedName>
    <definedName name="_xlop.transpose_result" hidden="1" xlm="1">#NAME?</definedName>
    <definedName name="_xlop.Upp" hidden="1" xlm="1">#NAME?</definedName>
    <definedName name="_xlop.value_name" hidden="1" xlm="1">#NAME?</definedName>
    <definedName name="_xlop.vertical" hidden="1" xlm="1">#NAME?</definedName>
    <definedName name="_xlop.Wrap" hidden="1" xlm="1">#NAME?</definedName>
    <definedName name="_xlop.x_multiplier" hidden="1" xlm="1">#NAME?</definedName>
    <definedName name="_xlop.y_multiplier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Parameters" hidden="1" xlm="1">#NAME?</definedName>
    <definedName name="_xlpm.\\Source" hidden="1" xlm="1">#NAME?</definedName>
    <definedName name="_xlpm._addDelimiter" hidden="1" xlm="1">#NAME?</definedName>
    <definedName name="_xlpm._Array" hidden="1" xlm="1">#NAME?</definedName>
    <definedName name="_xlpm._AttributeLabel" hidden="1" xlm="1">#NAME?</definedName>
    <definedName name="_xlpm._chars" hidden="1" xlm="1">#NAME?</definedName>
    <definedName name="_xlpm._Clean" hidden="1" xlm="1">#NAME?</definedName>
    <definedName name="_xlpm._ClosestColors" hidden="1" xlm="1">#NAME?</definedName>
    <definedName name="_xlpm._ColIndex" hidden="1" xlm="1">#NAME?</definedName>
    <definedName name="_xlpm._ColorTable" hidden="1" xlm="1">#NAME?</definedName>
    <definedName name="_xlpm._Cols" hidden="1" xlm="1">#NAME?</definedName>
    <definedName name="_xlpm._ColsByRow" hidden="1" xlm="1">#NAME?</definedName>
    <definedName name="_xlpm._ColumnIndex" hidden="1" xlm="1">#NAME?</definedName>
    <definedName name="_xlpm._ColumnNumbers" hidden="1" xlm="1">#NAME?</definedName>
    <definedName name="_xlpm._ColumnOrder" hidden="1" xlm="1">#NAME?</definedName>
    <definedName name="_xlpm._ColumnsToInsert" hidden="1" xlm="1">#NAME?</definedName>
    <definedName name="_xlpm._ColumnsToUnpivot" hidden="1" xlm="1">#NAME?</definedName>
    <definedName name="_xlpm._Combine" hidden="1" xlm="1">#NAME?</definedName>
    <definedName name="_xlpm._countif" hidden="1" xlm="1">#NAME?</definedName>
    <definedName name="_xlpm._D1Cols" hidden="1" xlm="1">#NAME?</definedName>
    <definedName name="_xlpm._D1Rows" hidden="1" xlm="1">#NAME?</definedName>
    <definedName name="_xlpm._D2Cols" hidden="1" xlm="1">#NAME?</definedName>
    <definedName name="_xlpm._D2Rows" hidden="1" xlm="1">#NAME?</definedName>
    <definedName name="_xlpm._Data1" hidden="1" xlm="1">#NAME?</definedName>
    <definedName name="_xlpm._Data2" hidden="1" xlm="1">#NAME?</definedName>
    <definedName name="_xlpm._Delim" hidden="1" xlm="1">#NAME?</definedName>
    <definedName name="_xlpm._fill" hidden="1" xlm="1">#NAME?</definedName>
    <definedName name="_xlpm._filtered" hidden="1" xlm="1">#NAME?</definedName>
    <definedName name="_xlpm._FirstColumnToUnpivot" hidden="1" xlm="1">#NAME?</definedName>
    <definedName name="_xlpm._flip" hidden="1" xlm="1">#NAME?</definedName>
    <definedName name="_xlpm._FullOuterJoin" hidden="1" xlm="1">#NAME?</definedName>
    <definedName name="_xlpm._GetMax" hidden="1" xlm="1">#NAME?</definedName>
    <definedName name="_xlpm._GetMin" hidden="1" xlm="1">#NAME?</definedName>
    <definedName name="_xlpm._HasHeaders" hidden="1" xlm="1">#NAME?</definedName>
    <definedName name="_xlpm._include" hidden="1" xlm="1">#NAME?</definedName>
    <definedName name="_xlpm._IncludeColumns" hidden="1" xlm="1">#NAME?</definedName>
    <definedName name="_xlpm._Included" hidden="1" xlm="1">#NAME?</definedName>
    <definedName name="_xlpm._IsArray" hidden="1" xlm="1">#NAME?</definedName>
    <definedName name="_xlpm._IsDigit" hidden="1" xlm="1">#NAME?</definedName>
    <definedName name="_xlpm._IsLetter" hidden="1" xlm="1">#NAME?</definedName>
    <definedName name="_xlpm._IsNeither" hidden="1" xlm="1">#NAME?</definedName>
    <definedName name="_xlpm._isNumber" hidden="1" xlm="1">#NAME?</definedName>
    <definedName name="_xlpm._IsWhiteSpace" hidden="1" xlm="1">#NAME?</definedName>
    <definedName name="_xlpm._Keep" hidden="1" xlm="1">#NAME?</definedName>
    <definedName name="_xlpm._Keys" hidden="1" xlm="1">#NAME?</definedName>
    <definedName name="_xlpm._len" hidden="1" xlm="1">#NAME?</definedName>
    <definedName name="_xlpm._Letters" hidden="1" xlm="1">#NAME?</definedName>
    <definedName name="_xlpm._MeanSquaredError" hidden="1" xlm="1">#NAME?</definedName>
    <definedName name="_xlpm._MinMax" hidden="1" xlm="1">#NAME?</definedName>
    <definedName name="_xlpm._n" hidden="1" xlm="1">#NAME?</definedName>
    <definedName name="_xlpm._NonBlankColumns" hidden="1" xlm="1">#NAME?</definedName>
    <definedName name="_xlpm._NonBlankRows" hidden="1" xlm="1">#NAME?</definedName>
    <definedName name="_xlpm._NonBlanks" hidden="1" xlm="1">#NAME?</definedName>
    <definedName name="_xlpm._OtherColumns" hidden="1" xlm="1">#NAME?</definedName>
    <definedName name="_xlpm._OuterJoinedData" hidden="1" xlm="1">#NAME?</definedName>
    <definedName name="_xlpm._PadWith" hidden="1" xlm="1">#NAME?</definedName>
    <definedName name="_xlpm._Ranked" hidden="1" xlm="1">#NAME?</definedName>
    <definedName name="_xlpm._RemoveBlanks" hidden="1" xlm="1">#NAME?</definedName>
    <definedName name="_xlpm._Result" hidden="1" xlm="1">#NAME?</definedName>
    <definedName name="_xlpm._RowFields" hidden="1" xlm="1">#NAME?</definedName>
    <definedName name="_xlpm._RowIndex" hidden="1" xlm="1">#NAME?</definedName>
    <definedName name="_xlpm._Rows" hidden="1" xlm="1">#NAME?</definedName>
    <definedName name="_xlpm._Seq" hidden="1" xlm="1">#NAME?</definedName>
    <definedName name="_xlpm._Sequence" hidden="1" xlm="1">#NAME?</definedName>
    <definedName name="_xlpm._Split" hidden="1" xlm="1">#NAME?</definedName>
    <definedName name="_xlpm._Step1" hidden="1" xlm="1">#NAME?</definedName>
    <definedName name="_xlpm._Step10" hidden="1" xlm="1">#NAME?</definedName>
    <definedName name="_xlpm._Step11" hidden="1" xlm="1">#NAME?</definedName>
    <definedName name="_xlpm._Step2" hidden="1" xlm="1">#NAME?</definedName>
    <definedName name="_xlpm._Step3" hidden="1" xlm="1">#NAME?</definedName>
    <definedName name="_xlpm._Step4" hidden="1" xlm="1">#NAME?</definedName>
    <definedName name="_xlpm._Step5" hidden="1" xlm="1">#NAME?</definedName>
    <definedName name="_xlpm._Step6" hidden="1" xlm="1">#NAME?</definedName>
    <definedName name="_xlpm._Step7" hidden="1" xlm="1">#NAME?</definedName>
    <definedName name="_xlpm._Step8" hidden="1" xlm="1">#NAME?</definedName>
    <definedName name="_xlpm._Step9" hidden="1" xlm="1">#NAME?</definedName>
    <definedName name="_xlpm._Symbols" hidden="1" xlm="1">#NAME?</definedName>
    <definedName name="_xlpm._toNumbers" hidden="1" xlm="1">#NAME?</definedName>
    <definedName name="_xlpm._Transpose" hidden="1" xlm="1">#NAME?</definedName>
    <definedName name="_xlpm._unique" hidden="1" xlm="1">#NAME?</definedName>
    <definedName name="_xlpm._UnpivotColumnCount" hidden="1" xlm="1">#NAME?</definedName>
    <definedName name="_xlpm._UnpivotColumns" hidden="1" xlm="1">#NAME?</definedName>
    <definedName name="_xlpm._ValueLabel" hidden="1" xlm="1">#NAME?</definedName>
    <definedName name="_xlpm._Values" hidden="1" xlm="1">#NAME?</definedName>
    <definedName name="_xlpm._WithHeader" hidden="1" xlm="1">#NAME?</definedName>
    <definedName name="_xlpm._WithValues" hidden="1" xlm="1">#NAME?</definedName>
    <definedName name="_xlpm._Wrap" hidden="1" xlm="1">#NAME?</definedName>
    <definedName name="_xlpm._X" hidden="1" xlm="1">#NAME?</definedName>
    <definedName name="_xlpm._Y" hidden="1" xlm="1">#NAME?</definedName>
    <definedName name="_xlpm.a" hidden="1" xlm="1">#NAME?</definedName>
    <definedName name="_xlpm.ABC" hidden="1" xlm="1">#NAME?</definedName>
    <definedName name="_xlpm.ac" hidden="1" xlm="1">#NAME?</definedName>
    <definedName name="_xlpm.acc" hidden="1" xlm="1">#NAME?</definedName>
    <definedName name="_xlpm.accum" hidden="1" xlm="1">#NAME?</definedName>
    <definedName name="_xlpm.Actual" hidden="1" xlm="1">#NAME?</definedName>
    <definedName name="_xlpm.add" hidden="1" xlm="1">#NAME?</definedName>
    <definedName name="_xlpm.addr" hidden="1" xlm="1">#NAME?</definedName>
    <definedName name="_xlpm.addr_col" hidden="1" xlm="1">#NAME?</definedName>
    <definedName name="_xlpm.Addresses" hidden="1" xlm="1">#NAME?</definedName>
    <definedName name="_xlpm.aggregate_function" hidden="1" xlm="1">#NAME?</definedName>
    <definedName name="_xlpm.allCols" hidden="1" xlm="1">#NAME?</definedName>
    <definedName name="_xlpm.ar" hidden="1" xlm="1">#NAME?</definedName>
    <definedName name="_xlpm.arr" hidden="1" xlm="1">#NAME?</definedName>
    <definedName name="_xlpm.array" hidden="1" xlm="1">#NAME?</definedName>
    <definedName name="_xlpm.array_roll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ow" hidden="1" xlm="1">#NAME?</definedName>
    <definedName name="_xlpm.Arrows" hidden="1" xlm="1">#NAME?</definedName>
    <definedName name="_xlpm.ArrowsRC" hidden="1" xlm="1">#NAME?</definedName>
    <definedName name="_xlpm.Arrowsx" hidden="1" xlm="1">#NAME?</definedName>
    <definedName name="_xlpm.Arrowsy" hidden="1" xlm="1">#NAME?</definedName>
    <definedName name="_xlpm.arrr" hidden="1" xlm="1">#NAME?</definedName>
    <definedName name="_xlpm.attribute_name" hidden="1" xlm="1">#NAME?</definedName>
    <definedName name="_xlpm.ax" hidden="1" xlm="1">#NAME?</definedName>
    <definedName name="_xlpm.ay" hidden="1" xlm="1">#NAME?</definedName>
    <definedName name="_xlpm.b" hidden="1" xlm="1">#NAME?</definedName>
    <definedName name="_xlpm.Base10" hidden="1" xlm="1">#NAME?</definedName>
    <definedName name="_xlpm.bc" hidden="1" xlm="1">#NAME?</definedName>
    <definedName name="_xlpm.bear" hidden="1" xlm="1">#NAME?</definedName>
    <definedName name="_xlpm.blocked_cells" hidden="1" xlm="1">#NAME?</definedName>
    <definedName name="_xlpm.booLoop" hidden="1" xlm="1">#NAME?</definedName>
    <definedName name="_xlpm.br" hidden="1" xlm="1">#NAME?</definedName>
    <definedName name="_xlpm.c" hidden="1" xlm="1">#NAME?</definedName>
    <definedName name="_xlpm.ca" hidden="1" xlm="1">#NAME?</definedName>
    <definedName name="_xlpm.CaseSensitive" hidden="1" xlm="1">#NAME?</definedName>
    <definedName name="_xlpm.cb" hidden="1" xlm="1">#NAME?</definedName>
    <definedName name="_xlpm.cc" hidden="1" xlm="1">#NAME?</definedName>
    <definedName name="_xlpm.cdist" hidden="1" xlm="1">#NAME?</definedName>
    <definedName name="_xlpm.cell" hidden="1" xlm="1">#NAME?</definedName>
    <definedName name="_xlpm.cell_coordinates" hidden="1" xlm="1">#NAME?</definedName>
    <definedName name="_xlpm.cell_from" hidden="1" xlm="1">#NAME?</definedName>
    <definedName name="_xlpm.cell_to" hidden="1" xlm="1">#NAME?</definedName>
    <definedName name="_xlpm.cell1" hidden="1" xlm="1">#NAME?</definedName>
    <definedName name="_xlpm.cell2" hidden="1" xlm="1">#NAME?</definedName>
    <definedName name="_xlpm.ch" hidden="1" xlm="1">#NAME?</definedName>
    <definedName name="_xlpm.clean" hidden="1" xlm="1">#NAME?</definedName>
    <definedName name="_xlpm.CleanData" hidden="1" xlm="1">#NAME?</definedName>
    <definedName name="_xlpm.cleantable" hidden="1" xlm="1">#NAME?</definedName>
    <definedName name="_xlpm.clMult" hidden="1" xlm="1">#NAME?</definedName>
    <definedName name="_xlpm.ClnData" hidden="1" xlm="1">#NAME?</definedName>
    <definedName name="_xlpm.cls" hidden="1" xlm="1">#NAME?</definedName>
    <definedName name="_xlpm.CLU" hidden="1" xlm="1">#NAME?</definedName>
    <definedName name="_xlpm.cnt" hidden="1" xlm="1">#NAME?</definedName>
    <definedName name="_xlpm.cnum" hidden="1" xlm="1">#NAME?</definedName>
    <definedName name="_xlpm.co" hidden="1" xlm="1">#NAME?</definedName>
    <definedName name="_xlpm.codes" hidden="1" xlm="1">#NAME?</definedName>
    <definedName name="_xlpm.col" hidden="1" xlm="1">#NAME?</definedName>
    <definedName name="_xlpm.ColCnt" hidden="1" xlm="1">#NAME?</definedName>
    <definedName name="_xlpm.colDelim" hidden="1" xlm="1">#NAME?</definedName>
    <definedName name="_xlpm.coldist" hidden="1" xlm="1">#NAME?</definedName>
    <definedName name="_xlpm.colIndex" hidden="1" xlm="1">#NAME?</definedName>
    <definedName name="_xlpm.colLen" hidden="1" xlm="1">#NAME?</definedName>
    <definedName name="_xlpm.collet" hidden="1" xlm="1">#NAME?</definedName>
    <definedName name="_xlpm.ColMax" hidden="1" xlm="1">#NAME?</definedName>
    <definedName name="_xlpm.ColMin" hidden="1" xlm="1">#NAME?</definedName>
    <definedName name="_xlpm.ColOff" hidden="1" xlm="1">#NAME?</definedName>
    <definedName name="_xlpm.cols" hidden="1" xlm="1">#NAME?</definedName>
    <definedName name="_xlpm.column" hidden="1" xlm="1">#NAME?</definedName>
    <definedName name="_xlpm.column_index" hidden="1" xlm="1">#NAME?</definedName>
    <definedName name="_xlpm.column_indexes" hidden="1" xlm="1">#NAME?</definedName>
    <definedName name="_xlpm.ColumnArray" hidden="1" xlm="1">#NAME?</definedName>
    <definedName name="_xlpm.ColumnID" hidden="1" xlm="1">#NAME?</definedName>
    <definedName name="_xlpm.columns_to_insert" hidden="1" xlm="1">#NAME?</definedName>
    <definedName name="_xlpm.columns_to_unpivot" hidden="1" xlm="1">#NAME?</definedName>
    <definedName name="_xlpm.condition" hidden="1" xlm="1">#NAME?</definedName>
    <definedName name="_xlpm.cou" hidden="1" xlm="1">#NAME?</definedName>
    <definedName name="_xlpm.coun" hidden="1" xlm="1">#NAME?</definedName>
    <definedName name="_xlpm.count" hidden="1" xlm="1">#NAME?</definedName>
    <definedName name="_xlpm.counti" hidden="1" xlm="1">#NAME?</definedName>
    <definedName name="_xlpm.countif" hidden="1" xlm="1">#NAME?</definedName>
    <definedName name="_xlpm.cr" hidden="1" xlm="1">#NAME?</definedName>
    <definedName name="_xlpm.criteria" hidden="1" xlm="1">#NAME?</definedName>
    <definedName name="_xlpm.criterion" hidden="1" xlm="1">#NAME?</definedName>
    <definedName name="_xlpm.curr" hidden="1" xlm="1">#NAME?</definedName>
    <definedName name="_xlpm.current_cell" hidden="1" xlm="1">#NAME?</definedName>
    <definedName name="_xlpm.d" hidden="1" xlm="1">#NAME?</definedName>
    <definedName name="_xlpm.d_mod" hidden="1" xlm="1">#NAME?</definedName>
    <definedName name="_xlpm.data" hidden="1" xlm="1">#NAME?</definedName>
    <definedName name="_xlpm.data_arr" hidden="1" xlm="1">#NAME?</definedName>
    <definedName name="_xlpm.data_grid" hidden="1" xlm="1">#NAME?</definedName>
    <definedName name="_xlpm.data1" hidden="1" xlm="1">#NAME?</definedName>
    <definedName name="_xlpm.data2" hidden="1" xlm="1">#NAME?</definedName>
    <definedName name="_xlpm.data3" hidden="1" xlm="1">#NAME?</definedName>
    <definedName name="_xlpm.data4" hidden="1" xlm="1">#NAME?</definedName>
    <definedName name="_xlpm.data5" hidden="1" xlm="1">#NAME?</definedName>
    <definedName name="_xlpm.DataSource" hidden="1" xlm="1">#NAME?</definedName>
    <definedName name="_xlpm.days_in_period" hidden="1" xlm="1">#NAME?</definedName>
    <definedName name="_xlpm.default" hidden="1" xlm="1">#NAME?</definedName>
    <definedName name="_xlpm.delim1" hidden="1" xlm="1">#NAME?</definedName>
    <definedName name="_xlpm.delim2" hidden="1" xlm="1">#NAME?</definedName>
    <definedName name="_xlpm.delimiter" hidden="1" xlm="1">#NAME?</definedName>
    <definedName name="_xlpm.diag" hidden="1" xlm="1">#NAME?</definedName>
    <definedName name="_xlpm.diag_flag" hidden="1" xlm="1">#NAME?</definedName>
    <definedName name="_xlpm.DiagonalDistance" hidden="1" xlm="1">#NAME?</definedName>
    <definedName name="_xlpm.dice" hidden="1" xlm="1">#NAME?</definedName>
    <definedName name="_xlpm.digits" hidden="1" xlm="1">#NAME?</definedName>
    <definedName name="_xlpm.digitsArr" hidden="1" xlm="1">#NAME?</definedName>
    <definedName name="_xlpm.dist" hidden="1" xlm="1">#NAME?</definedName>
    <definedName name="_xlpm.Dist_NoDiags_Pythag" hidden="1" xlm="1">#NAME?</definedName>
    <definedName name="_xlpm.Distances" hidden="1" xlm="1">#NAME?</definedName>
    <definedName name="_xlpm.DistanceType" hidden="1" xlm="1">#NAME?</definedName>
    <definedName name="_xlpm.divisor" hidden="1" xlm="1">#NAME?</definedName>
    <definedName name="_xlpm.doc" hidden="1" xlm="1">#NAME?</definedName>
    <definedName name="_xlpm.e" hidden="1" xlm="1">#NAME?</definedName>
    <definedName name="_xlpm.end" hidden="1" xlm="1">#NAME?</definedName>
    <definedName name="_xlpm.end_date" hidden="1" xlm="1">#NAME?</definedName>
    <definedName name="_xlpm.endcell" hidden="1" xlm="1">#NAME?</definedName>
    <definedName name="_xlpm.EuclideanDistance" hidden="1" xlm="1">#NAME?</definedName>
    <definedName name="_xlpm.exclude" hidden="1" xlm="1">#NAME?</definedName>
    <definedName name="_xlpm.Extension" hidden="1" xlm="1">#NAME?</definedName>
    <definedName name="_xlpm.f" hidden="1" xlm="1">#NAME?</definedName>
    <definedName name="_xlpm.fill" hidden="1" xlm="1">#NAME?</definedName>
    <definedName name="_xlpm.filter_values" hidden="1" xlm="1">#NAME?</definedName>
    <definedName name="_xlpm.filtered" hidden="1" xlm="1">#NAME?</definedName>
    <definedName name="_xlpm.FilteredItem" hidden="1" xlm="1">#NAME?</definedName>
    <definedName name="_xlpm.final_roll" hidden="1" xlm="1">#NAME?</definedName>
    <definedName name="_xlpm.find" hidden="1" xlm="1">#NAME?</definedName>
    <definedName name="_xlpm.First" hidden="1" xlm="1">#NAME?</definedName>
    <definedName name="_xlpm.firstChar" hidden="1" xlm="1">#NAME?</definedName>
    <definedName name="_xlpm.firstCl" hidden="1" xlm="1">#NAME?</definedName>
    <definedName name="_xlpm.firstcol" hidden="1" xlm="1">#NAME?</definedName>
    <definedName name="_xlpm.firstrow" hidden="1" xlm="1">#NAME?</definedName>
    <definedName name="_xlpm.firstRw" hidden="1" xlm="1">#NAME?</definedName>
    <definedName name="_xlpm.Flatten" hidden="1" xlm="1">#NAME?</definedName>
    <definedName name="_xlpm.fnc" hidden="1" xlm="1">#NAME?</definedName>
    <definedName name="_xlpm.fnCriteria" hidden="1" xlm="1">#NAME?</definedName>
    <definedName name="_xlpm.fnFill" hidden="1" xlm="1">#NAME?</definedName>
    <definedName name="_xlpm.fnIfBlank" hidden="1" xlm="1">#NAME?</definedName>
    <definedName name="_xlpm.fnIsDigit" hidden="1" xlm="1">#NAME?</definedName>
    <definedName name="_xlpm.fnReverse" hidden="1" xlm="1">#NAME?</definedName>
    <definedName name="_xlpm.fnSingle" hidden="1" xlm="1">#NAME?</definedName>
    <definedName name="_xlpm.fnSplit" hidden="1" xlm="1">#NAME?</definedName>
    <definedName name="_xlpm.fullSet" hidden="1" xlm="1">#NAME?</definedName>
    <definedName name="_xlpm.func" hidden="1" xlm="1">#NAME?</definedName>
    <definedName name="_xlpm.function" hidden="1" xlm="1">#NAME?</definedName>
    <definedName name="_xlpm.g" hidden="1" xlm="1">#NAME?</definedName>
    <definedName name="_xlpm.games" hidden="1" xlm="1">#NAME?</definedName>
    <definedName name="_xlpm.grid" hidden="1" xlm="1">#NAME?</definedName>
    <definedName name="_xlpm.h" hidden="1" xlm="1">#NAME?</definedName>
    <definedName name="_xlpm.h_fixed" hidden="1" xlm="1">#NAME?</definedName>
    <definedName name="_xlpm.h_mod" hidden="1" xlm="1">#NAME?</definedName>
    <definedName name="_xlpm.has_headers" hidden="1" xlm="1">#NAME?</definedName>
    <definedName name="_xlpm.headers" hidden="1" xlm="1">#NAME?</definedName>
    <definedName name="_xlpm.height" hidden="1" xlm="1">#NAME?</definedName>
    <definedName name="_xlpm.horizontal" hidden="1" xlm="1">#NAME?</definedName>
    <definedName name="_xlpm.horizontal_mod" hidden="1" xlm="1">#NAME?</definedName>
    <definedName name="_xlpm.horizontal_moves" hidden="1" xlm="1">#NAME?</definedName>
    <definedName name="_xlpm.i" hidden="1" xlm="1">#NAME?</definedName>
    <definedName name="_xlpm.iABC" hidden="1" xlm="1">#NAME?</definedName>
    <definedName name="_xlpm.id" hidden="1" xlm="1">#NAME?</definedName>
    <definedName name="_xlpm.idx" hidden="1" xlm="1">#NAME?</definedName>
    <definedName name="_xlpm.IfNotFound" hidden="1" xlm="1">#NAME?</definedName>
    <definedName name="_xlpm.ignore_commas" hidden="1" xlm="1">#NAME?</definedName>
    <definedName name="_xlpm.In" hidden="1" xlm="1">#NAME?</definedName>
    <definedName name="_xlpm.inABC" hidden="1" xlm="1">#NAME?</definedName>
    <definedName name="_xlpm.include_grand_total" hidden="1" xlm="1">#NAME?</definedName>
    <definedName name="_xlpm.indABC" hidden="1" xlm="1">#NAME?</definedName>
    <definedName name="_xlpm.Input" hidden="1" xlm="1">#NAME?</definedName>
    <definedName name="_xlpm.Input1" hidden="1" xlm="1">#NAME?</definedName>
    <definedName name="_xlpm.Input2" hidden="1" xlm="1">#NAME?</definedName>
    <definedName name="_xlpm.InputArray" hidden="1" xlm="1">#NAME?</definedName>
    <definedName name="_xlpm.IsComma" hidden="1" xlm="1">#NAME?</definedName>
    <definedName name="_xlpm.IsPeriod" hidden="1" xlm="1">#NAME?</definedName>
    <definedName name="_xlpm.item" hidden="1" xlm="1">#NAME?</definedName>
    <definedName name="_xlpm.items_arr" hidden="1" xlm="1">#NAME?</definedName>
    <definedName name="_xlpm.items_grid" hidden="1" xlm="1">#NAME?</definedName>
    <definedName name="_xlpm.j" hidden="1" xlm="1">#NAME?</definedName>
    <definedName name="_xlpm.k" hidden="1" xlm="1">#NAME?</definedName>
    <definedName name="_xlpm.key" hidden="1" xlm="1">#NAME?</definedName>
    <definedName name="_xlpm.keyCols" hidden="1" xlm="1">#NAME?</definedName>
    <definedName name="_xlpm.l" hidden="1" xlm="1">#NAME?</definedName>
    <definedName name="_xlpm.lastCl" hidden="1" xlm="1">#NAME?</definedName>
    <definedName name="_xlpm.lastRw" hidden="1" xlm="1">#NAME?</definedName>
    <definedName name="_xlpm.len" hidden="1" xlm="1">#NAME?</definedName>
    <definedName name="_xlpm.leng" hidden="1" xlm="1">#NAME?</definedName>
    <definedName name="_xlpm.letter" hidden="1" xlm="1">#NAME?</definedName>
    <definedName name="_xlpm.levels" hidden="1" xlm="1">#NAME?</definedName>
    <definedName name="_xlpm.list" hidden="1" xlm="1">#NAME?</definedName>
    <definedName name="_xlpm.lkpin" hidden="1" xlm="1">#NAME?</definedName>
    <definedName name="_xlpm.lkpout" hidden="1" xlm="1">#NAME?</definedName>
    <definedName name="_xlpm.lookup_array" hidden="1" xlm="1">#NAME?</definedName>
    <definedName name="_xlpm.lookup_output" hidden="1" xlm="1">#NAME?</definedName>
    <definedName name="_xlpm.lookup_value" hidden="1" xlm="1">#NAME?</definedName>
    <definedName name="_xlpm.lower" hidden="1" xlm="1">#NAME?</definedName>
    <definedName name="_xlpm.lowerArr" hidden="1" xlm="1">#NAME?</definedName>
    <definedName name="_xlpm.lr_roll" hidden="1" xlm="1">#NAME?</definedName>
    <definedName name="_xlpm.Lrmult" hidden="1" xlm="1">#NAME?</definedName>
    <definedName name="_xlpm.Lrshift" hidden="1" xlm="1">#NAME?</definedName>
    <definedName name="_xlpm.m" hidden="1" xlm="1">#NAME?</definedName>
    <definedName name="_xlpm.m_vert" hidden="1" xlm="1">#NAME?</definedName>
    <definedName name="_xlpm.ManhattanDistance" hidden="1" xlm="1">#NAME?</definedName>
    <definedName name="_xlpm.Map" hidden="1" xlm="1">#NAME?</definedName>
    <definedName name="_xlpm.map_cell" hidden="1" xlm="1">#NAME?</definedName>
    <definedName name="_xlpm.MapCols" hidden="1" xlm="1">#NAME?</definedName>
    <definedName name="_xlpm.MapRows" hidden="1" xlm="1">#NAME?</definedName>
    <definedName name="_xlpm.MapStartCol" hidden="1" xlm="1">#NAME?</definedName>
    <definedName name="_xlpm.MapStartRow" hidden="1" xlm="1">#NAME?</definedName>
    <definedName name="_xlpm.mask" hidden="1" xlm="1">#NAME?</definedName>
    <definedName name="_xlpm.MatchMode" hidden="1" xlm="1">#NAME?</definedName>
    <definedName name="_xlpm.maxcol" hidden="1" xlm="1">#NAME?</definedName>
    <definedName name="_xlpm.MaxNum" hidden="1" xlm="1">#NAME?</definedName>
    <definedName name="_xlpm.maxrow" hidden="1" xlm="1">#NAME?</definedName>
    <definedName name="_xlpm.Mcls" hidden="1" xlm="1">#NAME?</definedName>
    <definedName name="_xlpm.missing" hidden="1" xlm="1">#NAME?</definedName>
    <definedName name="_xlpm.missingCI" hidden="1" xlm="1">#NAME?</definedName>
    <definedName name="_xlpm.missingLower" hidden="1" xlm="1">#NAME?</definedName>
    <definedName name="_xlpm.missingNumbers" hidden="1" xlm="1">#NAME?</definedName>
    <definedName name="_xlpm.missingUpper" hidden="1" xlm="1">#NAME?</definedName>
    <definedName name="_xlpm.Mode" hidden="1" xlm="1">#NAME?</definedName>
    <definedName name="_xlpm.month_num" hidden="1" xlm="1">#NAME?</definedName>
    <definedName name="_xlpm.mp" hidden="1" xlm="1">#NAME?</definedName>
    <definedName name="_xlpm.mrows" hidden="1" xlm="1">#NAME?</definedName>
    <definedName name="_xlpm.Mrws" hidden="1" xlm="1">#NAME?</definedName>
    <definedName name="_xlpm.n" hidden="1" xlm="1">#NAME?</definedName>
    <definedName name="_xlpm.n_horiz" hidden="1" xlm="1">#NAME?</definedName>
    <definedName name="_xlpm.ncols" hidden="1" xlm="1">#NAME?</definedName>
    <definedName name="_xlpm.new" hidden="1" xlm="1">#NAME?</definedName>
    <definedName name="_xlpm.new_block" hidden="1" xlm="1">#NAME?</definedName>
    <definedName name="_xlpm.newArray" hidden="1" xlm="1">#NAME?</definedName>
    <definedName name="_xlpm.newcell" hidden="1" xlm="1">#NAME?</definedName>
    <definedName name="_xlpm.NewChars" hidden="1" xlm="1">#NAME?</definedName>
    <definedName name="_xlpm.nextCodes" hidden="1" xlm="1">#NAME?</definedName>
    <definedName name="_xlpm.NoBlanks" hidden="1" xlm="1">#NAME?</definedName>
    <definedName name="_xlpm.number" hidden="1" xlm="1">#NAME?</definedName>
    <definedName name="_xlpm.NumList" hidden="1" xlm="1">#NAME?</definedName>
    <definedName name="_xlpm.off" hidden="1" xlm="1">#NAME?</definedName>
    <definedName name="_xlpm.offset" hidden="1" xlm="1">#NAME?</definedName>
    <definedName name="_xlpm.omitblanks" hidden="1" xlm="1">#NAME?</definedName>
    <definedName name="_xlpm.One_nodiagonal_Two_Pythag" hidden="1" xlm="1">#NAME?</definedName>
    <definedName name="_xlpm.only" hidden="1" xlm="1">#NAME?</definedName>
    <definedName name="_xlpm.ord" hidden="1" xlm="1">#NAME?</definedName>
    <definedName name="_xlpm.Order" hidden="1" xlm="1">#NAME?</definedName>
    <definedName name="_xlpm.Order_RCaa_CRaa_RCad_CRad_RCda_CRda_RCdd_CRdd" hidden="1" xlm="1">#NAME?</definedName>
    <definedName name="_xlpm.ordered" hidden="1" xlm="1">#NAME?</definedName>
    <definedName name="_xlpm.Out" hidden="1" xlm="1">#NAME?</definedName>
    <definedName name="_xlpm.P0C1" hidden="1" xlm="1">#NAME?</definedName>
    <definedName name="_xlpm.pad_with" hidden="1" xlm="1">#NAME?</definedName>
    <definedName name="_xlpm.param" hidden="1" xlm="1">#NAME?</definedName>
    <definedName name="_xlpm.params" hidden="1" xlm="1">#NAME?</definedName>
    <definedName name="_xlpm.period_start_date" hidden="1" xlm="1">#NAME?</definedName>
    <definedName name="_xlpm.periods" hidden="1" xlm="1">#NAME?</definedName>
    <definedName name="_xlpm.pos" hidden="1" xlm="1">#NAME?</definedName>
    <definedName name="_xlpm.pos_one_x" hidden="1" xlm="1">#NAME?</definedName>
    <definedName name="_xlpm.pos_one_y" hidden="1" xlm="1">#NAME?</definedName>
    <definedName name="_xlpm.pos_two_x" hidden="1" xlm="1">#NAME?</definedName>
    <definedName name="_xlpm.pos_two_y" hidden="1" xlm="1">#NAME?</definedName>
    <definedName name="_xlpm.posx" hidden="1" xlm="1">#NAME?</definedName>
    <definedName name="_xlpm.posxx" hidden="1" xlm="1">#NAME?</definedName>
    <definedName name="_xlpm.posy" hidden="1" xlm="1">#NAME?</definedName>
    <definedName name="_xlpm.posyy" hidden="1" xlm="1">#NAME?</definedName>
    <definedName name="_xlpm.presentLower_CS" hidden="1" xlm="1">#NAME?</definedName>
    <definedName name="_xlpm.presentUpper_CS" hidden="1" xlm="1">#NAME?</definedName>
    <definedName name="_xlpm.priorCodes" hidden="1" xlm="1">#NAME?</definedName>
    <definedName name="_xlpm.questions" hidden="1" xlm="1">#NAME?</definedName>
    <definedName name="_xlpm.r" hidden="1" xlm="1">#NAME?</definedName>
    <definedName name="_xlpm.Range" hidden="1" xlm="1">#NAME?</definedName>
    <definedName name="_xlpm.rate" hidden="1" xlm="1">#NAME?</definedName>
    <definedName name="_xlpm.RB" hidden="1" xlm="1">#NAME?</definedName>
    <definedName name="_xlpm.rc" hidden="1" xlm="1">#NAME?</definedName>
    <definedName name="_xlpm.RCInc" hidden="1" xlm="1">#NAME?</definedName>
    <definedName name="_xlpm.rcn" hidden="1" xlm="1">#NAME?</definedName>
    <definedName name="_xlpm.rcnu" hidden="1" xlm="1">#NAME?</definedName>
    <definedName name="_xlpm.rcnum" hidden="1" xlm="1">#NAME?</definedName>
    <definedName name="_xlpm.rdist" hidden="1" xlm="1">#NAME?</definedName>
    <definedName name="_xlpm.Ref" hidden="1" xlm="1">#NAME?</definedName>
    <definedName name="_xlpm.Reference" hidden="1" xlm="1">#NAME?</definedName>
    <definedName name="_xlpm.remove_blanks" hidden="1" xlm="1">#NAME?</definedName>
    <definedName name="_xlpm.remove_columns" hidden="1" xlm="1">#NAME?</definedName>
    <definedName name="_xlpm.remove_rows" hidden="1" xlm="1">#NAME?</definedName>
    <definedName name="_xlpm.rep" hidden="1" xlm="1">#NAME?</definedName>
    <definedName name="_xlpm.replace" hidden="1" xlm="1">#NAME?</definedName>
    <definedName name="_xlpm.res" hidden="1" xlm="1">#NAME?</definedName>
    <definedName name="_xlpm.result" hidden="1" xlm="1">#NAME?</definedName>
    <definedName name="_xlpm.resultArray" hidden="1" xlm="1">#NAME?</definedName>
    <definedName name="_xlpm.return" hidden="1" xlm="1">#NAME?</definedName>
    <definedName name="_xlpm.return_array" hidden="1" xlm="1">#NAME?</definedName>
    <definedName name="_xlpm.return_type" hidden="1" xlm="1">#NAME?</definedName>
    <definedName name="_xlpm.RF" hidden="1" xlm="1">#NAME?</definedName>
    <definedName name="_xlpm.RLU" hidden="1" xlm="1">#NAME?</definedName>
    <definedName name="_xlpm.rng" hidden="1" xlm="1">#NAME?</definedName>
    <definedName name="_xlpm.rnum" hidden="1" xlm="1">#NAME?</definedName>
    <definedName name="_xlpm.row" hidden="1" xlm="1">#NAME?</definedName>
    <definedName name="_xlpm.row_indexes" hidden="1" xlm="1">#NAME?</definedName>
    <definedName name="_xlpm.RowArray" hidden="1" xlm="1">#NAME?</definedName>
    <definedName name="_xlpm.RowCnt" hidden="1" xlm="1">#NAME?</definedName>
    <definedName name="_xlpm.rowDelim" hidden="1" xlm="1">#NAME?</definedName>
    <definedName name="_xlpm.rowdist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Max" hidden="1" xlm="1">#NAME?</definedName>
    <definedName name="_xlpm.RowMin" hidden="1" xlm="1">#NAME?</definedName>
    <definedName name="_xlpm.RowOff" hidden="1" xlm="1">#NAME?</definedName>
    <definedName name="_xlpm.rows" hidden="1" xlm="1">#NAME?</definedName>
    <definedName name="_xlpm.rr" hidden="1" xlm="1">#NAME?</definedName>
    <definedName name="_xlpm.rwMult" hidden="1" xlm="1">#NAME?</definedName>
    <definedName name="_xlpm.rws" hidden="1" xlm="1">#NAME?</definedName>
    <definedName name="_xlpm.s" hidden="1" xlm="1">#NAME?</definedName>
    <definedName name="_xlpm.search" hidden="1" xlm="1">#NAME?</definedName>
    <definedName name="_xlpm.SearchMode" hidden="1" xlm="1">#NAME?</definedName>
    <definedName name="_xlpm.Second" hidden="1" xlm="1">#NAME?</definedName>
    <definedName name="_xlpm.sheetname" hidden="1" xlm="1">#NAME?</definedName>
    <definedName name="_xlpm.Shft" hidden="1" xlm="1">#NAME?</definedName>
    <definedName name="_xlpm.shift" hidden="1" xlm="1">#NAME?</definedName>
    <definedName name="_xlpm.ShowAll_0" hidden="1" xlm="1">#NAME?</definedName>
    <definedName name="_xlpm.single_cell" hidden="1" xlm="1">#NAME?</definedName>
    <definedName name="_xlpm.size" hidden="1" xlm="1">#NAME?</definedName>
    <definedName name="_xlpm.Snake" hidden="1" xlm="1">#NAME?</definedName>
    <definedName name="_xlpm.sorted" hidden="1" xlm="1">#NAME?</definedName>
    <definedName name="_xlpm.SortedByDistance" hidden="1" xlm="1">#NAME?</definedName>
    <definedName name="_xlpm.SortedData" hidden="1" xlm="1">#NAME?</definedName>
    <definedName name="_xlpm.SortKey" hidden="1" xlm="1">#NAME?</definedName>
    <definedName name="_xlpm.split" hidden="1" xlm="1">#NAME?</definedName>
    <definedName name="_xlpm.Srt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_date" hidden="1" xlm="1">#NAME?</definedName>
    <definedName name="_xlpm.startcell" hidden="1" xlm="1">#NAME?</definedName>
    <definedName name="_xlpm.startcol" hidden="1" xlm="1">#NAME?</definedName>
    <definedName name="_xlpm.starting_cell" hidden="1" xlm="1">#NAME?</definedName>
    <definedName name="_xlpm.startrow" hidden="1" xlm="1">#NAME?</definedName>
    <definedName name="_xlpm.stcl" hidden="1" xlm="1">#NAME?</definedName>
    <definedName name="_xlpm.str" hidden="1" xlm="1">#NAME?</definedName>
    <definedName name="_xlpm.string" hidden="1" xlm="1">#NAME?</definedName>
    <definedName name="_xlpm.string1" hidden="1" xlm="1">#NAME?</definedName>
    <definedName name="_xlpm.string2" hidden="1" xlm="1">#NAME?</definedName>
    <definedName name="_xlpm.stringLength" hidden="1" xlm="1">#NAME?</definedName>
    <definedName name="_xlpm.strw" hidden="1" xlm="1">#NAME?</definedName>
    <definedName name="_xlpm.sub" hidden="1" xlm="1">#NAME?</definedName>
    <definedName name="_xlpm.substring" hidden="1" xlm="1">#NAME?</definedName>
    <definedName name="_xlpm.sum_distance_traveled" hidden="1" xlm="1">#NAME?</definedName>
    <definedName name="_xlpm.table" hidden="1" xlm="1">#NAME?</definedName>
    <definedName name="_xlpm.table_arrows" hidden="1" xlm="1">#NAME?</definedName>
    <definedName name="_xlpm.table1" hidden="1" xlm="1">#NAME?</definedName>
    <definedName name="_xlpm.table2" hidden="1" xlm="1">#NAME?</definedName>
    <definedName name="_xlpm.tarr" hidden="1" xlm="1">#NAME?</definedName>
    <definedName name="_xlpm.text" hidden="1" xlm="1">#NAME?</definedName>
    <definedName name="_xlpm.text_vector" hidden="1" xlm="1">#NAME?</definedName>
    <definedName name="_xlpm.TextLengthNoSpaces" hidden="1" xlm="1">#NAME?</definedName>
    <definedName name="_xlpm.TextOrRange" hidden="1" xlm="1">#NAME?</definedName>
    <definedName name="_xlpm.Third" hidden="1" xlm="1">#NAME?</definedName>
    <definedName name="_xlpm.ToFind" hidden="1" xlm="1">#NAME?</definedName>
    <definedName name="_xlpm.totdist" hidden="1" xlm="1">#NAME?</definedName>
    <definedName name="_xlpm.transpose_result" hidden="1" xlm="1">#NAME?</definedName>
    <definedName name="_xlpm.trg" hidden="1" xlm="1">#NAME?</definedName>
    <definedName name="_xlpm.trimmed" hidden="1" xlm="1">#NAME?</definedName>
    <definedName name="_xlpm.Trimmedtext" hidden="1" xlm="1">#NAME?</definedName>
    <definedName name="_xlpm.TrimmedtextLength" hidden="1" xlm="1">#NAME?</definedName>
    <definedName name="_xlpm.txt" hidden="1" xlm="1">#NAME?</definedName>
    <definedName name="_xlpm.txtArr" hidden="1" xlm="1">#NAME?</definedName>
    <definedName name="_xlpm.txtArrUpper" hidden="1" xlm="1">#NAME?</definedName>
    <definedName name="_xlpm.type" hidden="1" xlm="1">#NAME?</definedName>
    <definedName name="_xlpm.u" hidden="1" xlm="1">#NAME?</definedName>
    <definedName name="_xlpm.UABC" hidden="1" xlm="1">#NAME?</definedName>
    <definedName name="_xlpm.UDmult" hidden="1" xlm="1">#NAME?</definedName>
    <definedName name="_xlpm.UDshift" hidden="1" xlm="1">#NAME?</definedName>
    <definedName name="_xlpm.UpABC" hidden="1" xlm="1">#NAME?</definedName>
    <definedName name="_xlpm.UpdatedDataSource" hidden="1" xlm="1">#NAME?</definedName>
    <definedName name="_xlpm.Upp" hidden="1" xlm="1">#NAME?</definedName>
    <definedName name="_xlpm.UppABC" hidden="1" xlm="1">#NAME?</definedName>
    <definedName name="_xlpm.Uppe" hidden="1" xlm="1">#NAME?</definedName>
    <definedName name="_xlpm.UppeABC" hidden="1" xlm="1">#NAME?</definedName>
    <definedName name="_xlpm.Upper" hidden="1" xlm="1">#NAME?</definedName>
    <definedName name="_xlpm.UpperABC" hidden="1" xlm="1">#NAME?</definedName>
    <definedName name="_xlpm.upperArr" hidden="1" xlm="1">#NAME?</definedName>
    <definedName name="_xlpm.v" hidden="1" xlm="1">#NAME?</definedName>
    <definedName name="_xlpm.v_fixed" hidden="1" xlm="1">#NAME?</definedName>
    <definedName name="_xlpm.v_mod" hidden="1" xlm="1">#NAME?</definedName>
    <definedName name="_xlpm.val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_name" hidden="1" xlm="1">#NAME?</definedName>
    <definedName name="_xlpm.valueList" hidden="1" xlm="1">#NAME?</definedName>
    <definedName name="_xlpm.values" hidden="1" xlm="1">#NAME?</definedName>
    <definedName name="_xlpm.vector" hidden="1" xlm="1">#NAME?</definedName>
    <definedName name="_xlpm.vertical" hidden="1" xlm="1">#NAME?</definedName>
    <definedName name="_xlpm.vertical_mod" hidden="1" xlm="1">#NAME?</definedName>
    <definedName name="_xlpm.vertical_moves" hidden="1" xlm="1">#NAME?</definedName>
    <definedName name="_xlpm.visual" hidden="1" xlm="1">#NAME?</definedName>
    <definedName name="_xlpm.w" hidden="1" xlm="1">#NAME?</definedName>
    <definedName name="_xlpm.WhiteSpaceSubstitution" hidden="1" xlm="1">#NAME?</definedName>
    <definedName name="_xlpm.width" hidden="1" xlm="1">#NAME?</definedName>
    <definedName name="_xlpm.Wrap" hidden="1" xlm="1">#NAME?</definedName>
    <definedName name="_xlpm.wrd" hidden="1" xlm="1">#NAME?</definedName>
    <definedName name="_xlpm.x" hidden="1" xlm="1">#NAME?</definedName>
    <definedName name="_xlpm.x_multiplier" hidden="1" xlm="1">#NAME?</definedName>
    <definedName name="_xlpm.xmove" hidden="1" xlm="1">#NAME?</definedName>
    <definedName name="_xlpm.xmoveunit" hidden="1" xlm="1">#NAME?</definedName>
    <definedName name="_xlpm.xmult" hidden="1" xlm="1">#NAME?</definedName>
    <definedName name="_xlpm.y" hidden="1" xlm="1">#NAME?</definedName>
    <definedName name="_xlpm.y_multiplier" hidden="1" xlm="1">#NAME?</definedName>
    <definedName name="_xlpm.ymove" hidden="1" xlm="1">#NAME?</definedName>
    <definedName name="_xlpm.ymoveunit" hidden="1" xlm="1">#NAME?</definedName>
    <definedName name="_xlpm.ymult" hidden="1" xlm="1">#NAME?</definedName>
    <definedName name="addresses">_xlfn.LAMBDA(_xlpm.rng, ADDRESS(ROW(_xlpm.rng), COLUMN(_xlpm.rng), 4))</definedName>
    <definedName name="AddressofCells">_xlfn.LAMBDA(_xlpm.array,_xlfn.MAP(_xlpm.array,_xlfn.LAMBDA(_xlpm.a,ADDRESS(ROW(_xlpm.a),COLUMN(_xlpm.a),4))))</definedName>
    <definedName name="allButOneTrue">_xlfn.LAMBDA(_xlpm.array,_xlop.criterion, SUM(--IF(_xlfn.ISOMITTED(_xlpm.criterion), _xlpm.array, _xlfn.MAP(_xlpm.array, _xlpm.criterion))) = ROWS(_xlpm.array) * COLUMNS(_xlpm.array) - 1)</definedName>
    <definedName name="allCombinations">_xlfn.LAMBDA(_xlpm.table1,_xlpm.table2,_xlop.has_headers, _xlfn.LET(_xlpm._HasHeaders, IF(_xlfn.ISOMITTED(_xlpm.has_headers), TRUE, _xlpm.has_headers), _xlpm._Data1, IF(_xlpm._HasHeaders, _xlfn.DROP(_xlpm.table1, 1), _xlpm.table1), _xlpm._Data2, IF(_xlpm._HasHeaders, _xlfn.DROP(_xlpm.table2, 1), _xlpm.table2), _xlpm._D1Rows, ROWS(_xlpm._Data1), _xlpm._D1Cols, COLUMNS(_xlpm._Data1), _xlpm._D2Rows, ROWS(_xlpm._Data2), _xlpm._D2Cols, COLUMNS(_xlpm._Data2), _xlpm._OuterJoinedData, _xlfn.MAKEARRAY(_xlpm._D1Rows * _xlpm._D2Rows, _xlpm._D1Cols + _xlpm._D2Cols, _xlfn.LAMBDA(_xlpm.i,_xlpm.j, IF(_xlpm.j &lt;= _xlpm._D1Cols, INDEX(_xlpm._Data1, ROUNDUP(_xlpm.i / _xlpm._D2Rows, 0), _xlpm.j), INDEX(_xlpm._Data2, MOD(_xlpm.i - 1, _xlpm._D2Rows) + 1, _xlpm.j - _xlpm._D1Cols)))), _xlpm._WithHeader, IF(_xlpm._HasHeaders, _xlfn.VSTACK(_xlfn.HSTACK(_xlfn.TAKE(_xlpm.table1, 1), _xlfn.TAKE(_xlpm.table2, 1)), _xlpm._OuterJoinedData), _xlpm._OuterJoinedData), _xlpm._WithHeader))</definedName>
    <definedName name="allTrue">_xlfn.LAMBDA(_xlpm.array,_xlop.criterion, AND(IF(_xlfn.ISOMITTED(_xlpm.criterion), _xlpm.array, _xlfn.MAP(_xlpm.array, _xlpm.criterion))))</definedName>
    <definedName name="amatch" xml:space="preserve"> _xlfn.LAMBDA(_xlpm.lookup_array,_xlpm.lookup_value,_xlop.Actual,     _xlfn.LET(         _xlpm.vals, _xlfn.TOCOL(_xlpm.lookup_array),         _xlpm.strw, IF(_xlpm.Actual = 1, ROW(_xlfn.TAKE(_xlpm.lookup_array, 1, 1)) - 1, 0),         _xlpm.stcl, IF(_xlpm.Actual = 1, COLUMN(_xlfn.TAKE(_xlpm.lookup_array, 1, 1)) - 1, 0),         _xlpm.rws, _xlfn.TOCOL(_xlfn.SEQUENCE(ROWS(_xlpm.lookup_array)) + 0 * _xlfn.SEQUENCE(, COLUMNS(_xlpm.lookup_array))),         _xlpm.cls, _xlfn.TOCOL(_xlfn.SEQUENCE(ROWS(_xlpm.lookup_array)) * 0 + _xlfn.SEQUENCE(, COLUMNS(_xlpm.lookup_array))),         _xlpm.Mrws, _xlfn.TOROW(_xlfn._xlws.FILTER(_xlpm.rws, (_xlpm.vals = _xlpm.lookup_value) * (_xlpm.vals &lt;&gt; ""))),         _xlpm.Mcls, _xlfn.TOROW(_xlfn._xlws.FILTER(_xlpm.cls, (_xlpm.vals = _xlpm.lookup_value) * (_xlpm.vals &lt;&gt; ""))),         TRANSPOSE(_xlfn.VSTACK(_xlpm.strw + _xlpm.Mrws, _xlpm.stcl + _xlpm.Mcls))     ) )</definedName>
    <definedName name="amatchAddress">_xlfn.LAMBDA(_xlpm.lookup_array,_xlpm.lookup_value,_xlop.Actual,     _xlfn.LET(         _xlpm.vals, _xlfn.TOCOL(_xlpm.lookup_array),         _xlpm.strw, IF(_xlpm.Actual = 1, ROW(_xlfn.TAKE(_xlpm.lookup_array, 1, 1)) - 1, 0),         _xlpm.stcl, IF(_xlpm.Actual = 1, COLUMN(_xlfn.TAKE(_xlpm.lookup_array, 1, 1)) - 1, 0),         _xlpm.rws, _xlfn.TOCOL(_xlfn.SEQUENCE(ROWS(_xlpm.lookup_array)) + 0 * _xlfn.SEQUENCE(, COLUMNS(_xlpm.lookup_array))),         _xlpm.cls, _xlfn.TOCOL(_xlfn.SEQUENCE(ROWS(_xlpm.lookup_array)) * 0 + _xlfn.SEQUENCE(, COLUMNS(_xlpm.lookup_array))),         _xlpm.Mrws, _xlfn.TOROW(_xlfn._xlws.FILTER(_xlpm.rws, (_xlpm.vals = _xlpm.lookup_value) * (_xlpm.vals &lt;&gt; ""))),         _xlpm.Mcls, _xlfn.TOROW(_xlfn._xlws.FILTER(_xlpm.cls, (_xlpm.vals = _xlpm.lookup_value) * (_xlpm.vals &lt;&gt; ""))),         TRANSPOSE(ADDRESS(_xlpm.strw + _xlpm.Mrws, _xlpm.stcl + _xlpm.Mcls, 4))     ) )</definedName>
    <definedName name="anyTrue">_xlfn.LAMBDA(_xlpm.array,_xlop.criterion, OR(IF(_xlfn.ISOMITTED(_xlpm.criterion), _xlpm.array, _xlfn.MAP(_xlpm.array, _xlpm.criterion))))</definedName>
    <definedName name="arrows">{"←","→","↑","↓","↖","↗","↙","↘"}</definedName>
    <definedName name="arrowsAll">_xlfn.VSTACK(arrows, arrowsLR, arrowsUD)</definedName>
    <definedName name="arrowShift">_xlfn.LAMBDA(_xlpm.starting_cell,_xlpm.arrow, _xlfn.LET(_xlpm.Arrows, _xlfn.VSTACK("↗", "↓", "↖", "←", "→", "↙", "↘", "↑"), _xlpm.Arrowsx, _xlfn.VSTACK(1, 0, -1, -1, 1, -1, 1, 0), _xlpm.Arrowsy, _xlfn.VSTACK(-1, 1, -1, 0, 0, 1, 1, -1), _xlpm.d, RIGHT(_xlpm.arrow, 1), _xlpm.m, IF(LEN(_xlpm.arrow) = 1, 1, 1 * LEFT(_xlpm.arrow, LEN(_xlpm.arrow) - 1)), _xlpm.xmoveunit, _xlfn.XLOOKUP(_xlpm.d, _xlpm.Arrows, _xlpm.Arrowsx), _xlpm.ymoveunit, _xlfn.XLOOKUP(_xlpm.d, _xlpm.Arrows, _xlpm.Arrowsy), _xlpm.xmove, _xlpm.xmoveunit * _xlpm.m, _xlpm.ymove, _xlpm.ymoveunit * _xlpm.m, _xlpm.collet, _xlfn.TAKE(_xlfn.TEXTSPLIT(_xlpm.starting_cell, _xlfn.SEQUENCE(, 10, 0)), , 1), _xlpm.startcol, COLUMN(INDIRECT(_xlpm.collet &amp; 1)), _xlpm.startrow, 1 * RIGHT(_xlpm.starting_cell, LEN(_xlpm.starting_cell) - LEN(_xlpm.collet)), _xlpm.newcell, ADDRESS(_xlpm.startrow + _xlpm.ymove, _xlpm.startcol + _xlpm.xmove, 4), _xlpm.newcell))</definedName>
    <definedName name="arrowsLR">{-1,1,0,0,-1,1,-1,1}</definedName>
    <definedName name="arrowsUD">{0,0,1,-1,1,1,-1,-1}</definedName>
    <definedName name="arrsComb">_xlfn.LAMBDA(_xlop.rwMult,_xlop.clMult, arrowsLR * IF(_xlfn.ISOMITTED(_xlpm.clMult), 1, _xlpm.clMult) + arrowsUD * IF(_xlfn.ISOMITTED(_xlpm.rwMult), 1000, _xlpm.rwMult))</definedName>
    <definedName name="BiRow_byPeterBartholomew" comment="BiRow function as defined by Peter Bartholomew">_xlfn.LAMBDA(_xlpm.array,_xlpm.function,_xlfn.LET(_xlpm.\\LambdaName, "BiRow_byPeterBartholomew", _xlpm.\\Description, "Perform array function by row", _xlpm.\\Source, "attributed to Peter Bartholomew: https://techcommunity.microsoft.com/discussions/excelgeneral/recursive-lambda-implementation-of-excels-reduce-function-/3949754/replies/3952653#M207809", IF(ROWS(_xlpm.array) = 1, _xlpm.function(_xlpm.array), _xlfn.VSTACK(BiRow_byPeterBartholomew(_xlfn.TAKE(_xlpm.array, ROWS(_xlpm.array) / 2), _xlpm.function), BiRow_byPeterBartholomew(_xlfn.DROP(_xlpm.array, ROWS(_xlpm.array) / 2), _xlpm.function)))))</definedName>
    <definedName name="BLOCK">_xlfn.LAMBDA(_xlpm.rng,_xlpm.sheetname,_xlpm.x,_xlpm.y, OFFSET(INDIRECT(YOUAREHERE(_xlpm.rng, _xlpm.sheetname)), -_xlpm.y, -_xlpm.x, 2 * _xlpm.y + 1, 2 * _xlpm.x + 1))</definedName>
    <definedName name="cardOrd">{"A";"2";"3";"4";"5";"6";"7";"8";"9";"1";"J";"Q";"K"}</definedName>
    <definedName name="caseInputs">_xlfn.LAMBDA(     _xlfn.LET(         _xlpm.questions, _xlfn._xlws.FILTER(INDIRECT("Case!$B:$EE"), ISNUMBER(INDIRECT("Case!$B:$B"))),         _xlpm.result, IF(_xlpm.questions=0, NA(), _xlpm.questions),         _xlpm.clean, _xlfn.HSTACK(_xlfn.TAKE(_xlpm.result,,3), _xlfn.TAKE(_xlpm.result,,-COLUMNS(_xlpm.result)+5)),         IFERROR(_xlpm.clean, "")     ) )</definedName>
    <definedName name="CellsAround_byBendeLeon" comment="Return cells around target cell">_xlfn.LAMBDA(_xlpm.Ref,_xlpm.ColOff,_xlpm.RowOff,_xlop.ColMin,_xlop.ColMax,_xlop.RowMin,_xlop.RowMax,_xlop.Flatten,_xlfn.LET(_xlpm.\\LambdaName, "CellsAround", _xlpm.\\Description, "Return cells around target cell", _xlpm.\\Source, "Ben deLeon", _xlpm.arr, _xlfn.LET(_xlpm.a, _xlfn.DROP(ColumnList(COLUMN(INDIRECT(_xlpm.Ref)) + _xlpm.ColOff), , IF(COLUMN(INDIRECT(_xlpm.Ref)) &lt;= _xlpm.ColOff, 0, COLUMN(INDIRECT(_xlpm.Ref)) - _xlpm.ColOff - 1)), _xlpm.b, ColumnNumber(_xlpm.a), _xlfn._xlws.FILTER(_xlpm.a, (_xlpm.b &gt;= IF(_xlfn.ISOMITTED(_xlpm.ColMin), 1, MAX(1, IF(ISNUMBER(_xlpm.ColMin), _xlpm.ColMin, ColumnNumber(_xlpm.ColMin))))) * (_xlpm.b &lt;= IF(_xlfn.ISOMITTED(_xlpm.ColMax), 1000, MIN(1000, IF(ISNUMBER(_xlpm.ColMax), _xlpm.ColMax, ColumnNumber(_xlpm.ColMax))))))) &amp; _xlfn.LET(_xlpm.a, _xlfn.SEQUENCE(_xlpm.RowOff * 2 + 1, , ROW(INDIRECT(_xlpm.Ref)) - _xlpm.RowOff), _xlfn._xlws.FILTER(_xlpm.a, (_xlpm.a &gt;= IF(_xlfn.ISOMITTED(_xlpm.RowMin), 1, MAX(1, _xlpm.RowMin))) * (_xlpm.a &lt;= IF(_xlfn.ISOMITTED(_xlpm.RowMax), 10000, MIN(10000, _xlpm.RowMax))))), IF(_xlpm.Flatten = TRUE, _xlfn.TOROW(_xlpm.arr), _xlpm.arr)))</definedName>
    <definedName name="closestOnMap">_xlfn.LAMBDA(_xlpm.cell,_xlpm.mp,_xlpm.Extension,_xlop.Dist_NoDiags_Pythag,_xlop.item,_xlop.Order_RCaa_CRaa_RCad_CRad_RCda_CRda_RCdd_CRdd,_xlfn.LET(_xlpm.maxrow,ROWS(_xlpm.mp),_xlpm.maxcol,COLUMNS(_xlpm.mp),_xlpm.visual,INDEX(_xlpm.mp,MAX(ROW(INDIRECT(_xlpm.cell))-MIN(ROW(_xlpm.mp))+1-_xlpm.Extension,1),MAX(COLUMN(INDIRECT(_xlpm.cell))-MIN(COLUMN(_xlpm.mp))+1-_xlpm.Extension,1)):INDEX(_xlpm.mp,MIN(ROW(INDIRECT(_xlpm.cell))-MIN(ROW(_xlpm.mp))+1+_xlpm.Extension,_xlpm.maxrow),MIN(COLUMN(INDIRECT(_xlpm.cell))-MIN(COLUMN(_xlpm.mp))+1+_xlpm.Extension,_xlpm.maxcol)), _xlpm.addr,_xlfn.TOCOL(AddressofCells(_xlpm.visual)), _xlpm.rowdist,ROW(INDIRECT(_xlpm.addr))-ROW(INDIRECT(_xlpm.cell)), _xlpm.coldist,COLUMN(INDIRECT(_xlpm.addr))-COLUMN(INDIRECT(_xlpm.cell)), _xlpm.totdist,IF(_xlfn.ISOMITTED(_xlpm.Dist_NoDiags_Pythag),Distance(_xlpm.cell,_xlpm.addr),Distance(_xlpm.cell,_xlpm.addr,_xlpm.Dist_NoDiags_Pythag)), _xlpm.table,_xlfn.HSTACK(_xlfn.TOCOL(_xlpm.visual),_xlpm.addr,_xlpm.totdist), _xlpm.cleantable,_xlfn.SORTBY(_xlpm.table,_xlpm.totdist,1), _xlpm.ordered,_xlfn.SORTBY(_xlpm.table,_xlpm.totdist,1,IF(ISODD(_xlpm.Order_RCaa_CRaa_RCad_CRad_RCda_CRda_RCdd_CRdd),_xlpm.rowdist,_xlpm.coldist),IF(_xlpm.Order_RCaa_CRaa_RCad_CRad_RCda_CRda_RCdd_CRdd&lt;=4,1,-1),IF(ISODD(_xlpm.Order_RCaa_CRaa_RCad_CRad_RCda_CRda_RCdd_CRdd),_xlpm.coldist,_xlpm.rowdist),IF(MOD(_xlpm.Order_RCaa_CRaa_RCad_CRad_RCda_CRda_RCdd_CRdd-1,4)&lt;2,1,-1)), _xlpm.omitblanks,_xlfn._xlws.FILTER(IF(_xlfn.ISOMITTED(_xlpm.Order_RCaa_CRaa_RCad_CRad_RCda_CRda_RCdd_CRdd),_xlpm.cleantable,_xlpm.ordered),IFERROR(_xlfn.TAKE(IF(_xlfn.ISOMITTED(_xlpm.Order_RCaa_CRaa_RCad_CRad_RCda_CRda_RCdd_CRdd),_xlpm.cleantable,_xlpm.ordered),,1)&lt;&gt;"",FALSE)), _xlpm.end,IF(_xlfn.ISOMITTED(_xlpm.item),_xlpm.omitblanks,_xlfn._xlws.FILTER(_xlpm.omitblanks,_xlfn.CHOOSECOLS(_xlpm.omitblanks,1)=_xlpm.item)), _xlfn._xlws.FILTER(_xlpm.end,_xlfn.TAKE(_xlpm.end,,-1)&lt;=_xlpm.Extension)))</definedName>
    <definedName name="COL">_xlfn.LAMBDA(_xlpm.x, IF(_xlfn.ISOMITTED(_xlpm.x), COLUMN(), COLUMN(_xlpm.x)))</definedName>
    <definedName name="COLROW">_xlfn.LAMBDA(_xlpm.cell_coordinates, _xlfn.TEXTSPLIT(COLUMN(INDIRECT(_xlpm.cell_coordinates)) &amp; ";" &amp; ROW(INDIRECT(_xlpm.cell_coordinates)), ";"))</definedName>
    <definedName name="columnFromAddress">_xlfn.LAMBDA(_xlpm.add, COLUMN(INDIRECT(_xlpm.add)))</definedName>
    <definedName name="CountChar_byLiannaGerrish" comment="Returns the number of times a character appears in the selected text string.  ">_xlfn.LAMBDA(_xlpm.text,_xlpm.c,_xlfn.LET(_xlpm.\\LambdaName, "CountChar_byLiannaGerrish", _xlpm.\\CommandName, "Count Characters in a String", _xlpm.\\Description, "Returns the number of times a character appears in the selected text string", _xlpm.\\Source, "Lianna Gerrish", _xlpm.Trimmedtext, TRIM(_xlpm.text), _xlpm.TrimmedtextLength, LEN(_xlpm.Trimmedtext), _xlpm.WhiteSpaceSubstitution, SUBSTITUTE(_xlpm.Trimmedtext, _xlpm.c, ""), _xlpm.TextLengthNoSpaces, LEN(_xlpm.WhiteSpaceSubstitution), _xlpm.TrimmedtextLength - _xlpm.TextLengthNoSpaces + 0))</definedName>
    <definedName name="countEven">_xlfn.LAMBDA(_xlpm.arr, SUM(--ISEVEN(+_xlpm.arr)))</definedName>
    <definedName name="countOcc">_xlfn.LAMBDA(_xlpm.str,_xlpm.sub, (LEN(_xlpm.str) - LEN(SUBSTITUTE(_xlpm.str, _xlpm.sub, ""))) / LEN(_xlpm.sub))</definedName>
    <definedName name="countOdd">_xlfn.LAMBDA(_xlpm.arr, SUM(--ISODD(+_xlpm.arr)))</definedName>
    <definedName name="CR2A">_xlfn.LAMBDA(_xlpm.cnum,_xlpm.rnum, ADDRESS(_xlpm.rnum, _xlpm.cnum, 4))</definedName>
    <definedName name="crossJoin">_xlfn.LAMBDA(_xlpm.table1,_xlpm.table2,_xlop.has_headers, _xlfn.LET(_xlpm._HasHeaders, IF(_xlfn.ISOMITTED(_xlpm.has_headers), TRUE, _xlpm.has_headers), _xlpm._Data1, IF(_xlpm._HasHeaders, _xlfn.DROP(_xlpm.table1, 1), _xlpm.table1), _xlpm._Data2, IF(_xlpm._HasHeaders, _xlfn.DROP(_xlpm.table2, 1), _xlpm.table2), _xlpm._D1Rows, ROWS(_xlpm._Data1), _xlpm._D1Cols, COLUMNS(_xlpm._Data1), _xlpm._D2Rows, ROWS(_xlpm._Data2), _xlpm._D2Cols, COLUMNS(_xlpm._Data2), _xlpm._OuterJoinedData, _xlfn.MAKEARRAY(_xlpm._D1Rows * _xlpm._D2Rows, _xlpm._D1Cols + _xlpm._D2Cols, _xlfn.LAMBDA(_xlpm.i,_xlpm.j, IF(_xlpm.j &lt;= _xlpm._D1Cols, INDEX(_xlpm._Data1, ROUNDUP(_xlpm.i / _xlpm._D2Rows, 0), _xlpm.j), INDEX(_xlpm._Data2, MOD(_xlpm.i - 1, _xlpm._D2Rows) + 1, _xlpm.j - _xlpm._D1Cols)))), _xlpm._WithHeader, IF(_xlpm._HasHeaders, _xlfn.VSTACK(_xlfn.HSTACK(_xlfn.TAKE(_xlpm.table1, 1), _xlfn.TAKE(_xlpm.table2, 1)), _xlpm._OuterJoinedData), _xlpm._OuterJoinedData), _xlpm._WithHeader))</definedName>
    <definedName name="DATEHEADERS">_xlfn.LAMBDA(_xlpm.start_date,_xlpm.periods,_xlpm.type, _xlfn.LET(_xlpm.month_num, _xlfn.IFS(_xlpm.type = "Y", 12, _xlpm.type = "Q", 3, _xlpm.type = "M", 1), _xlfn.HSTACK(_xlfn.VSTACK("Start Date", "End Date", "Period #", "Year", "Month", "Jan Flag"), _xlfn.VSTACK(EDATE(_xlpm.start_date, _xlfn.SEQUENCE(, _xlpm.periods, 0, _xlpm.month_num)), EOMONTH(EDATE(_xlpm.start_date, _xlfn.SEQUENCE(, _xlpm.periods, 0, _xlpm.month_num)), _xlpm.month_num - 1), _xlfn.SEQUENCE(, _xlpm.periods), YEAR(EDATE(_xlpm.start_date, _xlfn.SEQUENCE(, _xlpm.periods, 0, _xlpm.month_num))), MONTH(EDATE(_xlpm.start_date, _xlfn.SEQUENCE(, _xlpm.periods, 0, _xlpm.month_num))), --MONTH(EDATE(_xlpm.start_date, _xlfn.SEQUENCE(, _xlpm.periods, 0, _xlpm.month_num))) = 1))))</definedName>
    <definedName name="DAYSINPERIOD">_xlfn.LAMBDA(_xlpm.start_date,_xlpm.end_date,_xlpm.period_start_date,_xlpm.days_in_period, MAX(0, MAX(0, MIN(_xlpm.days_in_period, MIN(_xlpm.end_date - _xlpm.period_start_date))) - MAX(0, (_xlpm.start_date - _xlpm.period_start_date))))</definedName>
    <definedName name="Decimal_Separator">'Default Settings'!$C$9</definedName>
    <definedName name="dice">{"⚀","⚁","⚂","⚃","⚄","⚅"}</definedName>
    <definedName name="DiffByRow_byJaqKennedy">_xlfn.LAMBDA(_xlpm.Input,_xlfn.LET(_xlpm.\\LambdaName, "DiffByRow", _xlpm.\\CommandName, "Difference of array columns by row", _xlpm.\\Description, "Returns first column - last column in array", _xlpm.\\Source, "Jaq Kennedy", _xlfn.TAKE(_xlpm.Input, , 1) - _xlfn.TAKE(_xlpm.Input, , -1)))</definedName>
    <definedName name="DIJKSTRA">_xlfn.LAMBDA(_xlpm.current_cell,_xlpm.map_cell,_xlpm.blocked_cells,_xlpm.diag, IF(_xlpm.diag = 1, IF(MAX(IF(COUNTIF(_xlpm.map_cell, _xlpm.blocked_cells), 1, 0)) = 0, MIN(INDIRECT(Loc.SHIFT_OOB(CELL("address", _xlpm.current_cell), -1, -1) &amp; ":" &amp; Loc.SHIFT_OOB(CELL("address", _xlpm.current_cell), 1, 1))) + _xlpm.map_cell, 999), IF(MAX(IF(COUNTIF(_xlpm.map_cell, _xlpm.blocked_cells), 1, 0)) = 0, MIN(INDIRECT(Loc.SHIFT_OOB(CELL("address", _xlpm.current_cell), 1, 0)), INDIRECT(Loc.SHIFT_OOB(CELL("address", _xlpm.current_cell), -1, 0)), INDIRECT(Loc.SHIFT_OOB(CELL("address", _xlpm.current_cell), 0, -1)), INDIRECT(Loc.SHIFT_OOB(CELL("address", _xlpm.current_cell), 0, 1))) + _xlpm.map_cell, 999)))</definedName>
    <definedName name="dirsComb">_xlfn.LAMBDA(_xlpm.Lrshift,_xlpm.Lrmult,_xlpm.UDshift,_xlpm.UDmult, _xlpm.Lrshift * _xlpm.Lrmult + _xlpm.UDshift * _xlpm.UDmult)</definedName>
    <definedName name="distanceBetweenTwoCells">_xlfn.LAMBDA(_xlpm.StartCell,_xlpm.EndCell,_xlop.DistanceType,   _xlfn.LET(     _xlpm.RowDist, ABS(ROW(_xlpm.StartCell) - ROW(_xlpm.EndCell)),     _xlpm.ColDist, ABS(COLUMN(_xlpm.StartCell) - COLUMN(_xlpm.EndCell)),      _xlpm.DiagonalDistance, MAX(_xlpm.RowDist, _xlpm.ColDist),     _xlpm.ManhattanDistance, _xlpm.RowDist + _xlpm.ColDist,     _xlpm.EuclideanDistance, SQRT(_xlpm.RowDist^2 + _xlpm.ColDist^2),      IF(       _xlpm.DistanceType = 1,       _xlpm.ManhattanDistance,       IF(         _xlpm.DistanceType = 2,         _xlpm.EuclideanDistance,         _xlpm.DiagonalDistance       )     )   ) )</definedName>
    <definedName name="distFrom">_xlfn.LAMBDA(_xlpm.mp,_xlpm.trg,_xlpm.func, _xlfn.LET(_xlpm.vals, _xlfn.TOCOL(_xlpm.mp), _xlpm.rws, _xlfn.TOCOL(_xlfn.SEQUENCE(ROWS(_xlpm.mp)) + 0 * _xlfn.SEQUENCE(, COLUMNS(_xlpm.mp))), _xlpm.cls, _xlfn.TOCOL(_xlfn.SEQUENCE(ROWS(_xlpm.mp)) * 0 + _xlfn.SEQUENCE(, COLUMNS(_xlpm.mp))), _xlpm.Mrws, _xlfn.TOROW(_xlfn._xlws.FILTER(_xlpm.rws, _xlpm.vals = _xlpm.trg)), _xlpm.Mcls, _xlfn.TOROW(_xlfn._xlws.FILTER(_xlpm.cls, _xlpm.vals = _xlpm.trg)), _xlpm.rdist, ABS(_xlpm.rws - _xlpm.Mrws), _xlpm.cdist, ABS(_xlpm.cls - _xlpm.Mcls), _xlpm.dist, _xlfn.BYROW(_xlfn.MAP(_xlpm.rdist, _xlpm.cdist, _xlpm.func), _xleta.MIN), _xlfn.WRAPROWS(_xlpm.dist, COLUMNS(_xlpm.mp))))</definedName>
    <definedName name="DistFromCellArr">_xlfn.LAMBDA(_xlpm.startcell,_xlpm.sum_distance_traveled, _xlfn.LET(
   _xlpm.\\LambdaName, "DistFromCellArr",
   _xlpm.\\CommandName, "Distance From Cell By Numbered Arrow",
   _xlpm._Step1, IFERROR(extractNumbers(_xlpm.sum_distance_traveled), 1),
   _xlpm._Step2, COLROW(_xlpm.startcell),
   _xlpm._Step3, IFERROR(SUBSTITUTE(_xlpm.sum_distance_traveled, _xlpm._Step1, ""), ""),
   _xlpm._Step4, arrowTable(),
   _xlpm._X, IFERROR(
      _xlpm._Step1 * _xlfn.XLOOKUP(_xlpm._Step3, _xlfn.TAKE(_xlpm._Step4, -8, 1), _xlfn.TAKE(_xlfn.DROP(_xlpm._Step4, , 1), -8, 1), 0, 0),
      0
   ),
   _xlpm._Y, IFERROR(_xlpm._Step1 * _xlfn.XLOOKUP(_xlpm._Step3, _xlfn.TAKE(_xlpm._Step4, -8, 1), _xlfn.TAKE(_xlpm._Step4, -8, -1), 0, 0), 0),
   _xlpm._Step7, SUM(_xlpm._X),
   _xlpm._Step8, SUM(_xlpm._Y),
   _xlpm._Step9, _xlfn.TAKE(_xlpm._Step2, , 1) + _xlpm._Step7,
   _xlpm._Step10, _xlfn.TAKE(_xlpm._Step2, , -1) + _xlpm._Step8,
   _xlpm._Result, ADDRESS(_xlpm._Step10, _xlpm._Step9, 4),
   _xlpm._Result
))</definedName>
    <definedName name="DROPCOL">_xlfn.LAMBDA(_xlpm.array,_xlpm.column, _xlfn.LET(
   _xlpm.\\LambdaName, "DROPCOL",
   _xlpm.\\CommandName, _xlpm.\\LambdaName,
   _xlpm.\\Description, "Drops a column from an array",
   _xlpm.\\Source, "Lianna",
   _xlfn.MAKEARRAY(
      ROWS(_xlpm.array),
      COLUMNS(_xlpm.array) - 1,
      _xlfn.LAMBDA(_xlpm.i,_xlpm.j, INDEX(_xlpm.array, _xlpm.i, IF(_xlpm.j &lt; _xlpm.column, _xlpm.j, _xlpm.j + 1)))
   )
))</definedName>
    <definedName name="DROPCOL_byLiannaGerrish">_xlfn.LAMBDA(_xlpm.array,_xlpm.column,_xlfn.LET(_xlpm.\\LambdaName, "DROPCOL", _xlpm.\\CommandName, _xlpm.\\LambdaName, _xlpm.\\Description, "Drops a column from an array", _xlpm.\\Source, "Lianna", _xlfn.MAKEARRAY(ROWS(_xlpm.array), COLUMNS(_xlpm.array) - 1, _xlfn.LAMBDA(_xlpm.i,_xlpm.j, INDEX(_xlpm.array, _xlpm.i, IF(_xlpm.j &lt; _xlpm.column, _xlpm.j, _xlpm.j + 1))))))</definedName>
    <definedName name="easyIndirect" comment="Indirect function with cell and optional sheet name">_xlfn.LAMBDA(_xlpm.cell,_xlop.sheetname,IF(_xlfn.ISOMITTED(_xlpm.sheetname), INDIRECT(_xlpm.cell), INDIRECT(_xlpm.sheetname &amp; "!" &amp; _xlpm.cell)))</definedName>
    <definedName name="exactlyOneTrue">_xlfn.LAMBDA(_xlpm.array,_xlop.criterion, SUM(--IF(_xlfn.ISOMITTED(_xlpm.criterion), _xlpm.array, _xlfn.MAP(_xlpm.array, _xlpm.criterion))) = 1)</definedName>
    <definedName name="exactlyTwoTrue">_xlfn.LAMBDA(_xlpm.array,_xlop.criterion, SUM(--IF(_xlfn.ISOMITTED(_xlpm.criterion), _xlpm.array, _xlfn.MAP(_xlpm.array, _xlpm.criterion))) = 2)</definedName>
    <definedName name="extractLetters" comment="Extracts letters from a string">_xlfn.LAMBDA(_xlpm.text,_xlfn.REDUCE("", MID(_xlpm.text, _xlfn.SEQUENCE(LEN(_xlpm.text), 1), 1), _xlfn.LAMBDA(_xlpm.x,_xlpm.y, IF(ISNUMBER(VALUE(_xlpm.y)), _xlpm.x, _xlpm.x &amp; _xlpm.y))))</definedName>
    <definedName name="extractNumbers">_xlfn.LAMBDA(_xlpm.txt, _xlfn.TEXTJOIN("", , IFERROR(MID(_xlpm.txt, _xlfn.SEQUENCE(LEN(_xlpm.txt)), 1) * 1, "")))</definedName>
    <definedName name="fillFromAbove">_xlfn.LAMBDA(_xlpm.array,_xlop.criteria, _xlfn.LET(_xlpm.\\LambdaName, "FillFromAbove", _xlpm.fnCriteria, IF(_xlfn.ISOMITTED(_xlpm.criteria), _xlfn.LAMBDA(_xlpm.x, _xlpm.x = ""), _xlpm.criteria), _xlpm._cols, _xlfn.SEQUENCE(1, COLUMNS(_xlpm.array)), _xlpm._rows, _xlfn.SEQUENCE(ROWS(_xlpm.array)), _xlpm.fnIfBlank, _xlfn.LAMBDA(_xlpm.x, IF(_xlpm.x = "", "", _xlpm.x)), _xlpm.fnFill, _xlfn.LAMBDA(_xlpm.vector, _xlfn.SCAN(_xlpm.fnIfBlank(INDEX(_xlpm.vector, 1, 1)), _xlpm.vector, _xlfn.LAMBDA(_xlpm.s,_xlpm.x, IF(_xlpm.fnCriteria(_xlpm.x), _xlpm.s, _xlpm.x)))), tile(_xlpm._cols, _xlfn.LAMBDA(_xlpm.n, _xlpm.fnFill(INDEX(_xlpm.array, _xlpm._rows, _xlpm.n))))))</definedName>
    <definedName name="fillFromBelow">_xlfn.LAMBDA(_xlpm.array,_xlop.criteria, _xlfn.LET(_xlpm.\\LambdaName, "FillFromBelow", _xlpm.fnCriteria, IF(_xlfn.ISOMITTED(_xlpm.criteria), _xlfn.LAMBDA(_xlpm.x, _xlpm.x = ""), _xlpm.criteria), _xlpm._cols, _xlfn.SEQUENCE(1, COLUMNS(_xlpm.array)), _xlpm._rows, _xlfn.SEQUENCE(ROWS(_xlpm.array)), _xlpm.fnIfBlank, _xlfn.LAMBDA(_xlpm.x, IF(_xlpm.x = "", "", _xlpm.x)), _xlpm.fnFill, _xlfn.LAMBDA(_xlpm.vector, _xlfn.SCAN(_xlpm.fnIfBlank(INDEX(_xlpm.vector, 1, 1)), _xlpm.vector, _xlfn.LAMBDA(_xlpm.s,_xlpm.x, IF(_xlpm.fnCriteria(_xlpm.x), _xlpm.s, _xlpm.x)))), _xlpm.fnReverse, _xlfn.LAMBDA(_xlpm.vector, _xlfn.SORTBY(_xlpm.vector, _xlpm._rows, -1)), _xlpm.Result, tile(_xlpm._cols, _xlfn.LAMBDA(_xlpm.n, _xlpm.fnReverse(_xlpm.fnFill(_xlpm.fnReverse(_xlfn.CHOOSECOLS(_xlpm.array, _xlpm.n)))))), _xlpm.Result))</definedName>
    <definedName name="fillFromLeft">_xlfn.LAMBDA(_xlpm.array,_xlop.criteria, _xlfn.LET(_xlpm.\\LambdaName, "FillFromLeft", _xlpm.fnCriteria, IF(_xlfn.ISOMITTED(_xlpm.criteria), _xlfn.LAMBDA(_xlpm.x, _xlpm.x = ""), _xlpm.criteria), _xlpm._cols, _xlfn.SEQUENCE(1, COLUMNS(_xlpm.array)), _xlpm._rows, _xlfn.SEQUENCE(ROWS(_xlpm.array)), _xlpm.fnIfBlank, _xlfn.LAMBDA(_xlpm.x, IF(_xlpm.x = "", "", _xlpm.x)), _xlpm.fnFill, _xlfn.LAMBDA(_xlpm.vector, _xlfn.SCAN(_xlpm.fnIfBlank(INDEX(_xlpm.vector, 1, 1)), _xlpm.vector, _xlfn.LAMBDA(_xlpm.s,_xlpm.x, IF(_xlpm.fnCriteria(_xlpm.x), _xlpm.s, _xlpm.x)))), _xlpm.Result, tile(_xlpm._rows, _xlfn.LAMBDA(_xlpm.n, _xlpm.fnFill(_xlfn.CHOOSEROWS(_xlpm.array, _xlpm.n)))), _xlpm.Result))</definedName>
    <definedName name="fillFromRight">_xlfn.LAMBDA(_xlpm.array,_xlop.criteria, _xlfn.LET(_xlpm.\\LambdaName, "FillFromRight", _xlpm.fnCriteria, IF(_xlfn.ISOMITTED(_xlpm.criteria), _xlfn.LAMBDA(_xlpm.x, _xlpm.x = ""), _xlpm.criteria), _xlpm._cols, _xlfn.SEQUENCE(1, COLUMNS(_xlpm.array)), _xlpm._rows, _xlfn.SEQUENCE(ROWS(_xlpm.array)), _xlpm.fnIfBlank, _xlfn.LAMBDA(_xlpm.x, IF(_xlpm.x = "", "", _xlpm.x)), _xlpm.fnFill, _xlfn.LAMBDA(_xlpm.vector, _xlfn.SCAN(_xlpm.fnIfBlank(INDEX(_xlpm.vector, 1, 1)), _xlpm.vector, _xlfn.LAMBDA(_xlpm.s,_xlpm.x, IF(_xlpm.fnCriteria(_xlpm.x), _xlpm.s, _xlpm.x)))), _xlpm.fnReverse, _xlfn.LAMBDA(_xlpm.vector, _xlfn.SORTBY(_xlpm.vector, _xlpm._cols, -1)), _xlpm.Result, tile(_xlpm._rows, _xlfn.LAMBDA(_xlpm.n, _xlpm.fnReverse(_xlpm.fnFill(_xlpm.fnReverse(_xlfn.CHOOSEROWS(_xlpm.array, _xlpm.n)))))), _xlpm.Result))</definedName>
    <definedName name="filterRowsByList">_xlfn.LAMBDA(_xlpm.data,_xlpm.column_indexes,_xlpm.filter_values,    _xlfn.LET(       _xlpm.mask,       _xlfn.BYROW(          _xlfn.CHOOSECOLS(_xlpm.data, _xlpm.column_indexes),          _xlfn.LAMBDA(_xlpm.r, AND(_xlfn.MAP(_xlpm.r, _xlfn.LAMBDA(_xlpm.x, OR(_xlpm.filter_values = _xlpm.x)))))       ),       _xlfn._xlws.FILTER(_xlpm.data, _xlpm.mask)    ) )</definedName>
    <definedName name="GETDIST">_xlfn.LAMBDA(_xlpm.cell_from,_xlpm.cell_to,_xlpm.diag_flag, _xlfn.IFS(_xlpm.diag_flag = 1, MAX(ABS(COLUMN(INDIRECT(_xlpm.cell_from)) - COLUMN(INDIRECT(_xlpm.cell_to))), ABS(ROW(INDIRECT(_xlpm.cell_from)) - ROW(INDIRECT(_xlpm.cell_to)))), _xlpm.diag_flag = 0, ABS(COLUMN(INDIRECT(_xlpm.cell_from)) - COLUMN(INDIRECT(_xlpm.cell_to))) + ABS(ROW(INDIRECT(_xlpm.cell_from)) - ROW(INDIRECT(_xlpm.cell_to)))))</definedName>
    <definedName name="GETDIST_weighted">_xlfn.LAMBDA(_xlpm.cell1,_xlpm.cell2,_xlpm.diag_flag,_xlpm.h_mod,_xlpm.v_mod,_xlpm.d_mod, _xlfn.LET(_xlpm.a, Loc.COLROW(_xlpm.cell1), _xlpm.b, Loc.COLROW(_xlpm.cell2), _xlpm.c, ABS(_xlpm.a - _xlpm.b), _xlpm.d, IF(_xlpm.diag_flag = 0, 0, MIN(_xlpm.c)), _xlpm.ca, _xlfn.TAKE(_xlpm.c, , 1), _xlpm.cb, _xlfn.TAKE(_xlpm.c, , -1), _xlpm.h, IF(_xlpm.diag_flag = 0, _xlpm.ca, IF(_xlpm.ca &gt; _xlpm.cb, ABS(_xlpm.ca - _xlpm.cb), 0)), _xlpm.v, IF(_xlpm.diag_flag = 0, _xlpm.cb, IF(_xlpm.ca &lt; _xlpm.cb, ABS(_xlpm.ca - _xlpm.cb), 0)), SUMPRODUCT(_xlfn.TAKE(_xlfn.HSTACK(_xlpm.h, _xlpm.v, _xlpm.d), -1), _xlfn.HSTACK(_xlpm.h_mod, _xlpm.v_mod, _xlpm.d_mod))))</definedName>
    <definedName name="gridToCol">_xlfn.LAMBDA(_xlpm.grid,_xlop.ShowAll_0, _xlfn.LET(    _xlpm.\\LambdaName, "GRIDTOCOL",    _xlpm.items_grid, _xlfn.TOCOL(_xlpm.grid),    _xlpm.addr_col, _xlfn.TOCOL(addresses(_xlpm.grid)),     _xlpm.rows, ROW(INDIRECT(_xlpm.addr_col)) * 1,    _xlpm.cols, COLUMN(INDIRECT(_xlpm.addr_col)) * 1,    _xlpm.rcnum, _xlfn.TOCOL(1000000 * _xlpm.rows + 1000 + _xlpm.cols),    _xlpm.headers, _xlfn.HSTACK("Items", "Row #", "Column #", "Address", "RCRef"),    _xlpm.data_grid, _xlfn.HSTACK(_xlpm.items_grid, _xlpm.rows, _xlpm.cols, _xlpm.addr_col, _xlpm.rcnum),    IF(       OR(_xlfn.ISOMITTED(_xlpm.ShowAll_0), _xlpm.ShowAll_0 &lt;&gt; 0),       _xlfn.VSTACK(_xlpm.headers, _xlfn._xlws.FILTER(_xlpm.data_grid, _xlfn.CHOOSECOLS(_xlpm.data_grid, 1) &lt;&gt; 0)),       _xlfn.VSTACK(_xlpm.headers, _xlpm.data_grid)    ) ))</definedName>
    <definedName name="guessDelimiter">_xlfn.LAMBDA(_xlpm.array, _xlfn.LET(_xlpm.\\LambdaName, "GuessDelimiter", _xlpm._Combine, _xlfn.TEXTJOIN(CHAR(10), TRUE, _xlpm.array), _xlpm._Letters, MID(_xlpm._Combine, _xlfn.SEQUENCE(LEN(_xlpm._Combine)), 1), _xlpm._IsLetter, _xlfn.MAP(_xlpm._Letters, _xlfn.LAMBDA(_xlpm.x, AND(UPPER(_xlpm.x) &gt;= "A", UPPER(_xlpm.x) &lt;= "Z"))), _xlpm._IsDigit, _xlfn.MAP(_xlpm._Letters, _xlfn.LAMBDA(_xlpm.x, AND(_xlpm.x &gt;= "0", _xlpm.x &lt;= "9"))), _xlpm._IsWhiteSpace, _xlfn.MAP(_xlpm._Letters, _xlfn.LAMBDA(_xlpm.x, OR(CODE(_xlpm.x) = 32, CODE(_xlpm.x) = 9, CODE(_xlpm.x) = 10, CODE(_xlpm.x) = 13))), _xlpm._IsNeither, (_xlpm._IsLetter + _xlpm._IsDigit + _xlpm._IsWhiteSpace) = 0, _xlpm._Symbols, _xlfn._xlws.FILTER(_xlpm._Letters, _xlpm._IsNeither), _xlpm._Ranked, _xlfn.SORTBY(_xlfn.UNIQUE(_xlpm._Symbols), _xlfn.BYROW(TRANSPOSE(_xlpm._Symbols) = _xlfn.UNIQUE(_xlpm._Symbols), _xlfn.LAMBDA(_xlpm.x, SUM(N(_xlpm.x)))), -1), _xlpm._Result, _xlfn.TAKE(_xlpm._Ranked, 1), _xlpm._Result))</definedName>
    <definedName name="I2M">_xlfn.LAMBDA(_xlpm.arr,_xlpm.row,_xlpm.col, INDEX(_xlpm.arr, MATCH(_xlpm.row, _xlfn.CHOOSECOLS(_xlpm.arr, 1), 0), MATCH(_xlpm.col, _xlfn.CHOOSEROWS(_xlpm.arr, 1), 0)))</definedName>
    <definedName name="IFBLANK">_xlfn.LAMBDA(_xlpm.value,_xlpm.value_if_blank, IF(ISBLANK(_xlpm.value), _xlpm.value_if_blank, _xlpm.value))</definedName>
    <definedName name="IFOMITTED">_xlfn.LAMBDA(_xlpm.value,_xlpm.value_if_omitted, IF(_xlfn.ISOMITTED(_xlpm.value), _xlpm.value_if_omitted, _xlpm.value))</definedName>
    <definedName name="IndMatch">_xlfn.LAMBDA(_xlpm.Input1,_xlpm.Input2, _xlfn.LET(
   _xlpm.\\LambdaName, "IndMatch",
   _xlpm.\\CommandName, "Indirect Match Lookup",
   _xlpm._Step1, SUBSTITUTE(_xlpm.Input1, " ", "_"),
   _xlpm._Step2, SUBSTITUTE(_xlpm.Input2, " ", "_"),
   _xlpm._Result, INDIRECT(_xlpm._Step1)  INDIRECT(_xlpm._Step2),
   _xlpm._Result
))</definedName>
    <definedName name="INTSECT">_xlfn.LAMBDA(_xlpm.string1,_xlpm.string2,_xlop.In,_xlop.Out, INDIRECT(IF(_xlfn.ISOMITTED(_xlpm.In) + _xlfn.ISOMITTED(_xlpm.Out), SUBSTITUTE(_xlpm.string1, " ", "_"), MEGAREPLACE(_xlpm.string1, _xlpm.In, _xlpm.Out))) INDIRECT(IF(_xlfn.ISOMITTED(_xlpm.In) + _xlfn.ISOMITTED(_xlpm.Out), SUBSTITUTE(_xlpm.string2, " ", "_"), MEGAREPLACE(_xlpm.string2, _xlpm.In, _xlpm.Out))))
                                                                                                                                                                                                                                                                LISTOFFSET = _xlfn.LAMBDA(_xlpm.arr,_xlpm.curr,_xlpm.offset,_xlpm.booLoop, _xlfn.LET(_xlpm.tarr, IF(ROWS(_xlpm.arr) &gt; 1, _xlpm.arr, TRANSPOSE(_xlpm.arr)), _xlpm.cnt, ROWS(_xlpm.tarr), _xlpm.off, IF(ABS(_xlpm.offset) &gt; _xlpm.cnt, SIGN(_xlpm.offset) * (MOD(ABS(_xlpm.offset) + 1, _xlpm.cnt) - 1), _xlpm.offset), _xlpm.idx, IF(OR(_xlpm.curr + _xlpm.off &lt; 1, _xlpm.curr + _xlpm.off &gt; _xlpm.cnt), IF(_xlpm.booLoop, IF(_xlpm.curr + _xlpm.off &lt; 1, _xlpm.cnt + _xlpm.curr + _xlpm.off, _xlpm.curr + _xlpm.off - _xlpm.cnt), 0), _xlpm.curr + _xlpm.off), _xlpm.return, IF(_xlpm.idx = 0, 0, INDEX(_xlpm.tarr, _xlpm.idx)), _xlpm.return))</definedName>
    <definedName name="isInList">_xlfn.LAMBDA(_xlpm.array,_xlpm.list,_xlfn.LET(_xlpm.\\LambdaName, "IsInList", _xlfn.MAP(_xlpm.array, _xlfn.LAMBDA(_xlpm.x, OR(_xlpm.list = _xlpm.x)))))</definedName>
    <definedName name="ISINRANGE">_xlfn.LAMBDA(_xlpm.cell,_xlpm.bear,_xlpm.x,_xlpm.y,_xlop.lookup_output,_xlop.default,_xlop.id, _xlfn.LET(_xlpm.default, IF(_xlfn.ISOMITTED(_xlpm.default), 0, _xlpm.default), _xlpm.lookup_output, IF(_xlfn.ISOMITTED(_xlpm.lookup_output), 1, _xlpm.lookup_output), _xlpm.a, MAX(IF(COUNTIF(INDIRECT(Loc.SHIFT_OOB(CELL("address", _xlpm.cell), -_xlpm.x, -_xlpm.y) &amp; ":" &amp; Loc.SHIFT_OOB(CELL("address", _xlpm.cell), _xlpm.x, _xlpm.y)), _xlpm.bear), IF(_xlfn.ISOMITTED(_xlpm.id), 1, _xlpm.id), _xlpm.default)), IF(_xlfn.ISOMITTED(_xlpm.id), IF(_xlpm.a &lt;&gt; 0, _xlpm.a, _xlpm.default), _xlfn.XLOOKUP(_xlpm.a, _xlpm.id, _xlpm.lookup_output, _xlpm.default))))</definedName>
    <definedName name="ISNONZERO">_xlfn.LAMBDA(_xlpm.x, IF(_xlpm.x = 0, FALSE(), TRUE()))</definedName>
    <definedName name="isPalindrome">_xlfn.LAMBDA(_xlpm.text, _xlfn.LET(_xlpm.clean, LOWER(SUBSTITUTE(SUBSTITUTE(TRIM(_xlpm.text), " ", ""), "-", "")), _xlpm.clean = _xlfn.TEXTJOIN("", , MID(_xlpm.clean, _xlfn.SEQUENCE(LEN(_xlpm.clean), , LEN(_xlpm.clean), -1), 1))))</definedName>
    <definedName name="knightComb">_xlfn.LAMBDA(_xlpm.Lrmult,_xlpm.UDmult, _knightLR * _xlpm.Lrmult + _knightUD * _xlpm.UDmult)</definedName>
    <definedName name="knightLR">{1;1;-1;-1;2;2;-2;-2}</definedName>
    <definedName name="knightUD">{2;-2;2;-2;1;-1;1;-1}</definedName>
    <definedName name="Language">'Default Settings'!$C$13</definedName>
    <definedName name="letters" xml:space="preserve"> _xlfn.LAMBDA(_xlop.Upp,_xlop.N,    _xlfn.LET(       _xlpm.\\LambdaName, "Letters",       _xlpm.\\CommandName, "Creates a horizontal list of letters",       _xlpm.ABC, CHAR(_xlfn.SEQUENCE(1, IF(_xlfn.ISOMITTED(_xlpm.N), 26, _xlpm.N)) + 64),       IF((_xlpm.Upp = 1) + _xlfn.ISOMITTED(_xlpm.Upp), _xlpm.ABC, LOWER(_xlpm.ABC))    ) )</definedName>
    <definedName name="letterShift">_xlfn.LAMBDA(_xlpm.Input,_xlpm.Shft, _xlfn.LET( _xlpm.\\LambdaName, "LetterShift_byBendeLeon", _xlpm.\\CommandName, "Shifts letters", _xlpm.\\Source, "Ben de Leon", _xlpm.arr, _xlfn.UNICODE(splitByCharacter(_xlpm.Input)), _xlpm.NewChars, _xlfn.IFS( (_xlpm.arr &gt;= 65) * (_xlpm.arr &lt;= 90) = 1, MOD(_xlpm.arr - 65 + _xlpm.Shft, 26) + 65, (_xlpm.arr &gt;= 97) * (_xlpm.arr &lt;= 122) = 1, MOD(_xlpm.arr - 97 + _xlpm.Shft, 26) + 97, TRUE, _xlpm.arr ), _xlpm.Result, _xlfn.CONCAT(_xlfn.UNICHAR(_xlpm.NewChars)), _xlpm.Result ))</definedName>
    <definedName name="List_Separator">'Default Settings'!$C$11</definedName>
    <definedName name="LISTOFFSET">_xlfn.LAMBDA(_xlpm.array,_xlpm.curr,_xlpm.offset,_xlpm.booLoop, _xlfn.LET(_xlpm.tarr, IF(ROWS(_xlpm.array) &gt; 1, _xlpm.array, TRANSPOSE(_xlpm.array)), _xlpm.cnt, ROWS(_xlpm.tarr), _xlpm.off, IF(ABS(_xlpm.offset) &gt; _xlpm.cnt, SIGN(_xlpm.offset) * (MOD(ABS(_xlpm.offset) + 1, _xlpm.cnt) - 1), _xlpm.offset), _xlpm.idx, IF(OR(_xlpm.curr + _xlpm.off &lt; 1, _xlpm.curr + _xlpm.off &gt; _xlpm.cnt), IF(_xlpm.booLoop, IF(_xlpm.curr + _xlpm.off &lt; 1, _xlpm.cnt + _xlpm.curr + _xlpm.off, _xlpm.curr + _xlpm.off - _xlpm.cnt), 0), _xlpm.curr + _xlpm.off), _xlpm.return, IF(_xlpm.idx = 0, 0, INDEX(_xlpm.tarr, _xlpm.idx)), _xlpm.return))</definedName>
    <definedName name="LkpRCByRow">_xlfn.LAMBDA(_xlpm.ToFind,_xlpm.Range,_xlfn.LET(_xlpm.\\LambdaName, "LkpRCByRow", _xlpm.\\CommandName, "Lookup Value by Row", _xlpm.\\Description, "Returns RC location of a list of values in a range", _xlpm.\\Source, "Jaq Kennedy", BiRow_byPeterBartholomew(_xlpm.ToFind, _xlfn.LAMBDA(_xlpm.a, IFERROR(_xlfn.CHOOSEROWS(matchRowCol(_xlpm.a, _xlpm.Range), 1), {"",""})))))</definedName>
    <definedName name="LkpSum">_xlfn.LAMBDA(_xlpm.values,_xlpm.lkpin,_xlpm.lkpout, _xlfn.LET(
   _xlpm.\\LambdaName, "LkpSum",
   _xlpm.\\CommandName, "Sum Lookup by Row",
   _xlfn.BYROW(_xlfn.XLOOKUP(_xlpm.values, _xlpm.lkpin, _xlpm.lkpout), _xleta.SUM)
))</definedName>
    <definedName name="MAXLOOKUP">_xlfn.LAMBDA(_xlpm.lookup_array,_xlpm.return_array,_xlop.return_type, IF(OR(_xlpm.return_type = 1, _xlfn.ISOMITTED(_xlpm.return_type)), _xlfn.XLOOKUP(MAX(_xlpm.lookup_array), _xlpm.lookup_array, _xlpm.return_array), _xlfn.XLOOKUP(MIN(_xlpm.lookup_array), _xlpm.lookup_array, _xlpm.return_array)))</definedName>
    <definedName name="MEGAREPLACE">_xlfn.LAMBDA(_xlpm.text,_xlpm.search,_xlpm.replace, IF(_xlpm.search = "", _xlpm.text, MEGAREPLACE(SUBSTITUTE(_xlpm.text, _xlpm.search, _xlpm.replace), OFFSET(_xlpm.search, 1, 0), OFFSET(_xlpm.replace, 1, 0))))</definedName>
    <definedName name="minAndMax" comment="Returns array with min and max of a range">_xlfn.LAMBDA(_xlpm.Range,_xlfn.LET(_xlpm.\\LambdaName, "MinMax", _xlpm.\\CommandName, "Get Min and Max of Range", _xlpm._GetMin, MIN(_xlpm.Range), _xlpm._GetMax, MAX(_xlpm.Range), _xlpm._MinMax, _xlfn.VSTACK(_xlpm._GetMin, _xlpm._GetMax), _xlpm._MinMax))</definedName>
    <definedName name="missingNumbers">_xlfn.LAMBDA(_xlpm.InputArray,_xlpm.MaxNum, _xlfn.LET(_xlpm.fullSet, _xlfn.SEQUENCE(_xlpm.MaxNum), _xlpm.missing, _xlfn._xlws.FILTER(_xlpm.fullSet, ISNA(MATCH(_xlpm.fullSet, _xlpm.InputArray, 0))), _xlpm.missing))</definedName>
    <definedName name="MODESUPER">_xlfn.LAMBDA(_xlpm.rng, _xlfn.LET(_xlpm.u, _xlfn.TOCOL(_xlfn.UNIQUE(_xlpm.rng), 3), _xlfn.TAKE(_xlfn._xlws.SORT(_xlfn.HSTACK(_xlpm.u, COUNTIF(_xlpm.rng, _xlpm.u)), 2, -1), 1)))</definedName>
    <definedName name="MODTEXT">_xlfn.LAMBDA(_xlpm.letter,_xlpm.shift, _xlfn.UNICHAR(MOD(_xlfn.UNICODE(UPPER(_xlpm.letter)) + UPPER(_xlpm.shift) - 65, 26) + 65))</definedName>
    <definedName name="neighborOp">_xlfn.LAMBDA(_xlpm.rng,_xlpm.dist,_xlpm.fnc, _xlfn.MAKEARRAY(ROWS(_xlpm.rng), COLUMNS(_xlpm.rng), _xlfn.LAMBDA(_xlpm.r,_xlpm.c, _xlpm.fnc(_xlfn.LET(_xlpm.firstRw, MAX(_xlpm.r - _xlpm.dist, 1), _xlpm.firstCl, MAX(_xlpm.c - _xlpm.dist, 1), _xlpm.lastRw, MIN(_xlpm.r + _xlpm.dist, ROWS(_xlpm.rng)), _xlpm.lastCl, MIN(_xlpm.c + _xlpm.dist, COLUMNS(_xlpm.rng)), _xlfn.CHOOSECOLS(_xlfn.CHOOSEROWS(_xlpm.rng, _xlfn.SEQUENCE(_xlpm.lastRw - _xlpm.firstRw + 1, , _xlpm.firstRw)), _xlfn.SEQUENCE(_xlpm.lastCl - _xlpm.firstCl + 1, , _xlpm.firstCl)))))))</definedName>
    <definedName name="nonDigitZero">_xlfn.LAMBDA(_xlpm.text_vector,    _xlfn.LET(       _xlpm.\\LambdaName, "NonDigitZero",       _xlpm.fnSingle,          _xlfn.LAMBDA(_xlpm.text,             _xlfn.LET(                _xlpm._Sequence, _xlfn.SEQUENCE(LEN(_xlpm.text)),                _xlpm._Transpose, COLUMNS(_xlpm.text_vector) = 1,                _xlpm._Split,                   MID(                      _xlpm.text,                      IF(_xlpm._Transpose, TRANSPOSE(_xlpm._Sequence), _xlpm._Sequence),                      1                   ),                _xlpm._Result,                   IF(                      LEN(_xlpm.text) = 0,                      "",                      IFERROR(VALUE(_xlpm._Split), 0)                   ),                _xlpm._Result             )          ),       _xlpm._IsArray, TYPE(_xlpm.text_vector) = 64,       _xlpm._Result,          IF(             _xlpm._IsArray,             _xlfn.IFNA(tile(_xlpm.text_vector, _xlfn.LAMBDA(_xlpm.x, _xlpm.fnSingle(_xlpm.x))), ""),             _xlpm.fnSingle(_xlpm.text_vector)          ),       _xlpm._Result    ) )</definedName>
    <definedName name="noneTrue">_xlfn.LAMBDA(_xlpm.array,_xlop.criterion, SUM(--IF(_xlfn.ISOMITTED(_xlpm.criterion), _xlpm.array, _xlfn.MAP(_xlpm.array, _xlpm.criterion))) = 0)</definedName>
    <definedName name="notInText">_xlfn.LAMBDA(_xlpm.TextOrRange,_xlpm.CaseSensitive,_xlpm.Mode, _xlfn.LET(_xlpm.txt, _xlfn.TEXTJOIN("", , _xlpm.TextOrRange), _xlpm.n, LEN(_xlpm.txt), _xlpm.upper, "ABCDEFGHIJKLMNOPQRSTUVWXYZ", _xlpm.lower, "abcdefghijklmnopqrstuvwxyz", _xlpm.digits, "0123456789", _xlpm.txtArr, IF(_xlpm.n, MID(_xlpm.txt, _xlfn.SEQUENCE(_xlpm.n), 1), ""), _xlpm.txtArrUpper, IF(_xlpm.n, MID(UPPER(_xlpm.txt), _xlfn.SEQUENCE(_xlpm.n), 1), ""), _xlpm.upperArr, MID(_xlpm.upper, _xlfn.SEQUENCE(LEN(_xlpm.upper)), 1), _xlpm.lowerArr, MID(_xlpm.lower, _xlfn.SEQUENCE(LEN(_xlpm.lower)), 1), _xlpm.digitsArr, MID(_xlpm.digits, _xlfn.SEQUENCE(LEN(_xlpm.digits)), 1), _xlpm.missingNumbers, IFERROR(_xlfn.TEXTJOIN("", , _xlfn._xlws.FILTER(_xlpm.digitsArr, ISNA(MATCH(_xlpm.digitsArr, _xlpm.txtArr, 0)))), ""), _xlpm.missingCI, IFERROR(_xlfn.TEXTJOIN("", , _xlfn._xlws.FILTER(_xlpm.upperArr, ISNA(MATCH(_xlpm.upperArr, _xlpm.txtArrUpper, 0)))), ""), _xlpm.presentUpper_CS, _xlfn.MAP(_xlpm.upperArr, _xlfn.LAMBDA(_xlpm.ch, SUM(--EXACT(_xlpm.ch, _xlpm.txtArr)) &gt; 0)), _xlpm.presentLower_CS, _xlfn.MAP(_xlpm.lowerArr, _xlfn.LAMBDA(_xlpm.ch, SUM(--EXACT(_xlpm.ch, _xlpm.txtArr)) &gt; 0)), _xlpm.missingUpper, IFERROR(_xlfn.TEXTJOIN("", , _xlfn._xlws.FILTER(_xlpm.upperArr, NOT(_xlpm.presentUpper_CS))), ""), _xlpm.missingLower, IFERROR(_xlfn.TEXTJOIN("", , _xlfn._xlws.FILTER(_xlpm.lowerArr, NOT(_xlpm.presentLower_CS))), ""), IF(_xlpm.Mode = 1, _xlpm.missingNumbers, IF(_xlpm.CaseSensitive = 1, _xlfn.VSTACK(_xlpm.missingUpper, _xlpm.missingLower), _xlpm.missingCI))))</definedName>
    <definedName name="NTHINSTANCE">_xlfn.LAMBDA(_xlpm.text,_xlpm.find,_xlpm.number, FIND(CHAR(160), SUBSTITUTE(_xlpm.text, _xlpm.find, CHAR(160), _xlpm.number)))</definedName>
    <definedName name="numToDayOfWeek" comment="Gets day of week as text - Monday = 1...Sunday = 7.  ">_xlfn.LAMBDA(_xlpm.NumList,_xlfn.LET(_xlpm.\\LambdaName, "TDay", _xlpm.\\CommandName, "Get day of week as text", _xlpm.\\Description, "Gets day of week as text - Monday = 1...Sunday = 7", _xlpm.\\Source, "Jaq Kennedy", TEXT(XMOD_byJaqKennedy(_xlpm.NumList + 1, 7), "Dddd")))</definedName>
    <definedName name="nxt">_xlfn.LAMBDA(_xlpm.arr,_xlop.n,_xlop.fill, _xlfn.LET(_xlpm._n, MAX(1, _xlpm.n), _xlpm._fill, IF(_xlfn.ISOMITTED(_xlpm.fill), "X", _xlpm.fill), IF(ROWS(_xlpm.arr) = 1, _xlfn.HSTACK(_xlfn.DROP(_xlpm.arr, , _xlpm._n), IF(_xlfn.SEQUENCE(, _xlpm._n), _xlpm._fill)), _xlfn.VSTACK(_xlfn.DROP(_xlpm.arr, _xlpm._n), IF(_xlfn.SEQUENCE(_xlpm._n, COLUMNS(_xlpm.arr)), _xlpm._fill)))))</definedName>
    <definedName name="ONSAMEDIAGONAL">_xlfn.LAMBDA(_xlpm.cell1,_xlpm.cell2, ABS(ROW(_xlpm.cell1) - ROW(_xlpm.cell2)) = ABS(COL(_xlpm.cell2) - COL(_xlpm.cell1)))</definedName>
    <definedName name="perCom">_xlfn.LAMBDA(_xlpm.n,_xlpm.c,_xlop.P0C1,_xlop.rep, _xlfn.LET(_xlpm.s, _xlfn.SEQUENCE(, _xlpm.n), --MID(_xlfn.REDUCE("", _xlfn.SEQUENCE(_xlpm.c), _xlfn.LAMBDA(_xlpm.a,_xlpm.w, _xlfn.TOCOL(_xlfn.IFS(IF(_xlpm.P0C1, IF(_xlpm.rep, RIGHT(_xlpm.a) &lt;= _xlpm.s &amp; "", RIGHT(_xlpm.a) &lt; _xlpm.s &amp; ""), IF(_xlpm.rep, 1, ISERR(FIND(_xlpm.s, _xlpm.a)))), _xlpm.a &amp; _xlpm.s), 3))), _xlfn.SEQUENCE(, _xlpm.c), 1)))</definedName>
    <definedName name="Permutations">_xlfn.LAMBDA(_xlpm.array, _xlfn.LET(_xlpm.k, COUNTA(_xlpm.array), _xlpm.k))</definedName>
    <definedName name="pips">_xlfn.LAMBDA(_xlpm.d, _xlfn.UNICODE(_xlpm.d) - 9855)</definedName>
    <definedName name="prev">_xlfn.LAMBDA(_xlpm.arr,_xlop.n,_xlop.fill, _xlfn.LET(_xlpm._n, MAX(1, _xlpm.n), _xlpm._fill, IF(_xlfn.ISOMITTED(_xlpm.fill), "X", _xlpm.fill), IF(ROWS(_xlpm.arr) = 1, _xlfn.HSTACK(IF(_xlfn.SEQUENCE(, _xlpm._n), _xlpm._fill), _xlfn.DROP(_xlpm.arr, , -_xlpm._n)), _xlfn.VSTACK(IF(_xlfn.SEQUENCE(_xlpm._n, COLUMNS(_xlpm.arr)), _xlpm._fill), _xlfn.DROP(_xlpm.arr, -_xlpm._n)))))</definedName>
    <definedName name="PRODUCTIF">_xlfn.LAMBDA(_xlpm.values,_xlpm.condition, _xlfn.REDUCE(1, _xlpm.values, _xlfn.LAMBDA(_xlpm.a,_xlpm.b, IF(_xlpm.condition(_xlpm.b), _xlpm.a * _xlpm.b, _xlpm.a))))</definedName>
    <definedName name="PYTHAG">_xlfn.LAMBDA(_xlpm.a,_xlpm.b, SQRT((_xlpm.a * _xlpm.a) + (_xlpm.b * _xlpm.b)))</definedName>
    <definedName name="PYTHAGDIST">_xlfn.LAMBDA(_xlpm.a,_xlpm.b, _xlfn.LET(_xlpm.ac, _xlfn.TAKE(COLROW(_xlpm.a), , 1), _xlpm.ar, _xlfn.TAKE(COLROW(_xlpm.a), , -1), _xlpm.bc, _xlfn.TAKE(COLROW(_xlpm.b), , 1), _xlpm.br, _xlfn.TAKE(COLROW(_xlpm.b), , -1), _xlpm.cr, ABS(_xlpm.br - _xlpm.ar), _xlpm.cc, ABS(_xlpm.bc - _xlpm.ac), PYTHAG(_xlpm.cr, _xlpm.cc)))</definedName>
    <definedName name="rankByFrequency">_xlfn.LAMBDA(_xlpm.rng,_xlop.ord,_xlop.only,_xlop.exclude, _xlfn.LET(     _xlpm.a, _xlfn.UNIQUE(_xlfn.TOCOL(IF(_xlpm.rng = "", "", _xlpm.rng), 3)),     _xlpm._include, _xlfn.BYROW(_xlpm.a &lt;&gt; _xlfn.TOROW(_xlpm.exclude), _xlfn.LAMBDA(_xlpm.x, PRODUCT(N(_xlpm.x)))),     _xlpm.filtered, IF(_xlfn.ISOMITTED(_xlpm.exclude), _xlpm.a, _xlfn._xlws.FILTER(_xlpm.a, _xlpm._include)),     _xlpm.b, _xlfn.MAP(_xlpm.filtered, _xlfn.LAMBDA(_xlpm.x, SUM(--(IFERROR(_xlpm.x = _xlpm.rng, 0))))),     _xlpm.sorted, _xlfn._xlws.SORT(_xlfn.HSTACK(_xlpm.filtered, _xlpm.b), 2, IF(_xlfn.ISOMITTED(_xlpm.ord), -1, _xlpm.ord)),     IF(_xlpm.only, INDEX(_xlpm.sorted, 1, 2), _xlpm.sorted) ))</definedName>
    <definedName name="RATEANNUALTOMONTHLY">_xlfn.LAMBDA(_xlpm.rate,_xlpm.periods, (1 + _xlpm.rate) ^ (1 / _xlpm.periods) - 1)</definedName>
    <definedName name="RATEMONTHLYTOANNUAL">_xlfn.LAMBDA(_xlpm.rate,_xlpm.periods, (1 + _xlpm.rate) ^ _xlpm.periods - 1)</definedName>
    <definedName name="removeBlanks">_xlfn.LAMBDA(_xlpm.array,_xlop.remove_rows,_xlop.remove_columns, _xlfn.LET(_xlpm.\\LambdaName, "REMOVEBLANKS", _xlpm.\\CommandName, "Remove Blanks", _xlpm.\\Description, "Remove all blank rows and columns.", _xlpm.\\Parameters, {"array","array of values to evaluate for blank rows and columns"}, _xlpm.\\Source, "Excel Robot", _xlpm._NonBlanks, (--ISBLANK(_xlpm.array) + (_xlpm.array = "")) = 0, _xlpm._NonBlankColumns, _xlfn._xlws.FILTER(_xlfn.SEQUENCE(1, COLUMNS(_xlpm._NonBlanks)), (_xlfn.BYCOL(--_xlpm._NonBlanks, _xlfn.LAMBDA(_xlpm.x, SUM(_xlpm.x))) &lt;&gt; 0) + IF(_xlfn.ISOMITTED(_xlpm.remove_columns), 0, 1 - _xlpm.remove_columns)), _xlpm._NonBlankRows, _xlfn._xlws.FILTER(_xlfn.SEQUENCE(ROWS(_xlpm._NonBlanks)), (_xlfn.BYROW(--_xlpm._NonBlanks, _xlfn.LAMBDA(_xlpm.x, SUM(_xlpm.x))) &lt;&gt; 0) + IF(_xlfn.ISOMITTED(_xlpm.remove_rows), 0, 1 - _xlpm.remove_rows)), _xlpm._Result, _xlfn.CHOOSEROWS(_xlfn.CHOOSECOLS(IF(_xlpm.array = "", "", _xlpm.array), _xlpm._NonBlankColumns), _xlpm._NonBlankRows), _xlpm._Result))</definedName>
    <definedName name="removeCols">_xlfn.LAMBDA(_xlpm.array,_xlpm.column_indexes, _xlfn.LET(_xlpm.\\LambdaName, "RemoveCols", _xlpm.\\CommandName, "Remove Columns Of Array", _xlpm.\\Description, "Removes specified columns of array using RemoveCols lambda.", _xlpm._Seq, _xlfn.SEQUENCE(COLUMNS(_xlpm.array)), _xlpm._Keep, ISERROR(MATCH(_xlpm._Seq, _xlfn.TOROW(_xlpm.column_indexes), 0)), _xlpm._Included, _xlfn._xlws.FILTER(_xlpm._Seq, _xlpm._Keep, TRUE), _xlpm._Result, _xlfn.CHOOSECOLS(_xlpm.array, _xlpm._Included), _xlpm._Result))</definedName>
    <definedName name="removeRows">_xlfn.LAMBDA(_xlpm.array,_xlpm.row_indexes, _xlfn.LET(_xlpm.\\LambdaName, "RemoveRows", _xlpm.\\CommandName, "Remove Rows Of Array", _xlpm.\\Description, "Removes specified rows of array using RemoveRows lambda.", _xlpm._Seq, _xlfn.SEQUENCE(ROWS(_xlpm.array)), _xlpm._Keep, ISERROR(MATCH(_xlpm._Seq, _xlfn.TOROW(_xlpm.row_indexes), 0)), _xlpm._Included, _xlfn._xlws.FILTER(_xlpm._Seq, _xlpm._Keep, TRUE), _xlpm._Result, _xlfn.CHOOSEROWS(_xlpm.array, _xlpm._Included), _xlpm._Result))</definedName>
    <definedName name="replaceZerosWithBlanks">_xlfn.LAMBDA(_xlpm.array, _xlfn.LET(_xlpm.\\LambdaName, "ReplaceZerosWithBlanks", _xlpm.\\CommandName, "Replace Zeros With Blanks", _xlpm.\\Description, "Returns the passed array but with blanks where there were zeros.", IF(_xlpm.array = 0, "", _xlpm.array)))</definedName>
    <definedName name="REVERSE_H">_xlfn.LAMBDA(_xlpm.array, _xlfn.LET(_xlpm.l, COUNTA(_xlfn.TAKE(_xlpm.array, 1)), _xlpm.s, _xlfn.SEQUENCE(, _xlpm.l), _xlfn.SORTBY(_xlpm.array, _xlpm.s, -1)))</definedName>
    <definedName name="REVERSE_V">_xlfn.LAMBDA(_xlpm.array, _xlfn.LET(_xlpm.l, COUNTA(_xlfn.TAKE(_xlpm.array, , 1)), _xlpm.s, _xlfn.SEQUENCE(_xlpm.l), _xlfn.SORTBY(_xlpm.array, _xlpm.s, -1)))</definedName>
    <definedName name="reverseColumns">_xlfn.LAMBDA(_xlpm.array, _xlfn.LET(_xlpm.\\LambdaName, "ReverseColumns", _xlpm.\\CommandName, "Reverse Columns", _xlpm.\\Description, "Returns an array in reverse column order.", _xlfn.SORTBY(_xlpm.array, _xlfn.SEQUENCE(1, COLUMNS(_xlpm.array)), -1)))</definedName>
    <definedName name="reverseRows">_xlfn.LAMBDA(_xlpm.array, _xlfn.LET(_xlpm.\\LambdaName, "ReverseRows", _xlpm.\\CommandName, "Reverse Rows", _xlpm.\\Description, "Returns array in reverse row order.", _xlfn.SORTBY(_xlpm.array, _xlfn.SEQUENCE(ROWS(_xlpm.array)), -1)))</definedName>
    <definedName name="reverseString">_xlfn.LAMBDA(_xlpm.txt, _xlfn.TEXTJOIN("", , MID(_xlpm.txt, _xlfn.SEQUENCE(LEN(_xlpm.txt), , LEN(_xlpm.txt), -1), 1)))</definedName>
    <definedName name="RightAlignedArray_byJaqKennedy" comment="Aligns contents of array to the right - ignoring blanks">_xlfn.LAMBDA(_xlpm.input,_xlfn.LET(_xlpm.\\LambdaName, "RightAlignedArray", _xlpm.\\CommandName, "Align array to right", _xlpm.\\Description, "Aligns array to the right with blanks to left", _xlpm.\\Source, "Jaq Kennedy", _xlpm._ColsByRow, _xlfn.BYROW(_xlpm.input, _xleta.COUNT), _xlpm._Rows, ROWS(_xlpm.input), _xlpm._Cols, COLUMNS(_xlpm.input), _xlpm._ColIndex, IF(MOD(_xlfn.SEQUENCE(_xlpm._Rows, _xlpm._Cols) - 1, _xlpm._Cols) + 1 - _xlpm._Cols + _xlpm._ColsByRow &lt;= 0, -1, MOD(_xlfn.SEQUENCE(_xlpm._Rows, _xlpm._Cols) - 1, _xlpm._Cols) + 1 - _xlpm._Cols + _xlpm._ColsByRow), _xlpm._RowIndex, _xlfn.SEQUENCE(_xlpm._Rows), _xlpm._Result, IFERROR(INDEX(_xlpm.input, _xlpm._RowIndex, _xlpm._ColIndex), ""), _xlpm._Result))</definedName>
    <definedName name="ROLL">_xlfn.LAMBDA(_xlpm.arr,_xlop.horizontal,_xlop.vertical, _xlfn.LET(_xlpm.horizontal, IF(_xlfn.ISOMITTED(_xlpm.horizontal), 0, _xlpm.horizontal), _xlpm.vertical, IF(_xlfn.ISOMITTED(_xlpm.vertical), 0, _xlpm.vertical), _xlpm.width, COUNT(_xlfn.TAKE(_xlpm.arr, 1)), _xlpm.height, COUNT(_xlfn.TAKE(_xlpm.arr, , 1)), _xlpm.horizontal_mod, IF(ABS(_xlpm.horizontal) &gt; _xlpm.width, MOD(_xlpm.horizontal, _xlpm.width), _xlpm.horizontal), _xlpm.vertical_mod, IF(ABS(_xlpm.vertical) &gt; _xlpm.height, MOD(_xlpm.vertical, _xlpm.height), _xlpm.vertical), _xlpm.h_fixed, IF(_xlpm.horizontal_mod &lt; 0, _xlpm.width + _xlpm.horizontal_mod, _xlpm.horizontal_mod), _xlpm.v_fixed, IF(_xlpm.vertical_mod &lt; 0, _xlpm.height + _xlpm.vertical_mod, _xlpm.vertical_mod), _xlpm.r, IF(_xlpm.horizontal_mod &lt; 0, _xlpm.width - (_xlpm.h_fixed), _xlpm.width - _xlpm.h_fixed), _xlpm.u, IF(_xlpm.vertical_mod &lt; 0, _xlpm.height - (_xlpm.v_fixed), _xlpm.height - _xlpm.v_fixed), _xlpm.lr_roll, IF(OR(_xlpm.h_fixed = 0, _xlpm.h_fixed = _xlpm.width), _xlpm.arr, _xlfn.HSTACK(_xlfn.TAKE(_xlpm.arr, , -_xlpm.h_fixed), _xlfn.TAKE(_xlpm.arr, , _xlpm.r))), _xlpm.final_roll, IF(OR(_xlpm.v_fixed = 0, _xlpm.v_fixed = _xlpm.height), _xlpm.lr_roll, _xlfn.VSTACK(_xlfn.TAKE(_xlpm.lr_roll, -_xlpm.v_fixed), _xlfn.TAKE(_xlpm.lr_roll, _xlpm.u))), _xlpm.final_roll))</definedName>
    <definedName name="ROLL_SINGLE">_xlfn.LAMBDA(_xlpm.arrr,_xlpm.r, _xlfn.LET(_xlpm.arr, _xlfn.TOCOL(_xlpm.arrr), _xlpm.size, COUNT(_xlpm.arr), _xlpm.rr, MOD(_xlpm.r, _xlpm.size), _xlpm.leng, COUNTA(_xlfn.TAKE(_xlpm.arrr, 1)), IF(_xlpm.r = 0, _xlpm.arrr, _xlfn.WRAPROWS(_xlfn.VSTACK(_xlfn.TAKE(_xlpm.arr, -_xlpm.rr), _xlfn.TAKE(_xlpm.arr, _xlpm.size - _xlpm.rr)), _xlpm.leng))))</definedName>
    <definedName name="ROWCOL">_xlfn.LAMBDA(_xlpm.cell_coordinates,_xlfn.TEXTSPLIT(ROW(INDIRECT(_xlpm.cell_coordinates)) &amp; ";" &amp; COLUMN(INDIRECT(_xlpm.cell_coordinates)), ";"))</definedName>
    <definedName name="rowFromAddress">_xlfn.LAMBDA(_xlpm.add, ROW(INDIRECT(_xlpm.add)))</definedName>
    <definedName name="runningProduct">_xlfn.LAMBDA(_xlpm.array, _xlfn.LET(_xlpm.\\LambdaName, "RunningProduct", _xlpm.\\CommandName, "Running Product", _xlpm.\\Description, "Returns vector of running product.", _xlpm.res, _xlfn.SCAN(1, _xlpm.array, _xlfn.LAMBDA(_xlpm.s,_xlpm.a, _xlpm.s * _xlpm.a)), _xlpm.res))</definedName>
    <definedName name="runningTotalsByColumn">_xlfn.LAMBDA(_xlpm.array, _xlfn.LET(_xlpm.\\LambdaName, "RunningTotalsByColumn", _xlpm.Result, _xlfn.MAKEARRAY(ROWS(_xlpm.array), COLUMNS(_xlpm.array), _xlfn.LAMBDA(_xlpm.x,_xlpm.y, SUM(INDEX(_xlpm.array, _xlfn.SEQUENCE(_xlpm.x), _xlpm.y)))), _xlpm.Result))</definedName>
    <definedName name="runningTotalsByRow">_xlfn.LAMBDA(_xlpm.array, _xlfn.LET(_xlpm.\\LambdaName, "RunningTotalsByRow", _xlpm.Result, _xlfn.MAKEARRAY(ROWS(_xlpm.array), COLUMNS(_xlpm.array), _xlfn.LAMBDA(_xlpm.x,_xlpm.y, SUM(INDEX(_xlpm.array, _xlpm.x, _xlfn.SEQUENCE(1, _xlpm.y))))), _xlpm.Result))</definedName>
    <definedName name="rwClNm">_xlfn.LAMBDA(_xlpm.arr,_xlop.rwMult,_xlop.clMult, IF(_xlfn.ISOMITTED(_xlpm.rwMult), 1000, _xlpm.rwMult) * _xlfn.SEQUENCE(ROWS(_xlpm.arr)) + IF(_xlfn.ISOMITTED(_xlpm.clMult), 1, _xlpm.clMult) * _xlfn.SEQUENCE(, COLUMNS(_xlpm.arr)))</definedName>
    <definedName name="SET">_xlfn.LAMBDA(_xlpm.array,_xlpm.val,_xlop.posx,_xlop.posy, _xlfn.LET(_xlpm.posxx, IF(_xlfn.ISOMITTED(_xlpm.posx), 1, _xlpm.posx), _xlpm.posyy, IF(_xlfn.ISOMITTED(_xlpm.posy), 1, _xlpm.posy), _xlpm.arrr, _xlfn.TOCOL(_xlpm.array), _xlpm.ax, COUNTA(_xlfn.TAKE(_xlpm.array, , 1)), _xlpm.ay, COUNTA(_xlfn.TAKE(_xlpm.array, 1)), _xlpm.pos, (_xlpm.ay * _xlpm.posxx) - _xlpm.ay + _xlpm.posyy, _xlpm.a, _xlfn.TAKE(_xlpm.arrr, _xlpm.pos - 1), _xlpm.b, _xlfn.TAKE(_xlpm.arrr, -COUNTA(_xlpm.arrr) + _xlpm.pos), _xlpm.c, IF(AND(_xlpm.posxx = 1, _xlpm.posyy = 1), _xlfn.VSTACK(_xlpm.val, _xlpm.b), IF(AND(_xlpm.posx = _xlpm.ax, _xlpm.posy = _xlpm.ay), _xlfn.VSTACK(_xlpm.a, _xlpm.val), IF(OR(_xlpm.posx &gt; _xlpm.ax, _xlpm.posy &gt; _xlpm.ay), NA(), _xlfn.VSTACK(_xlpm.a, _xlpm.val, _xlpm.b)))), _xlfn.WRAPROWS(_xlpm.c, _xlpm.ay)))</definedName>
    <definedName name="SHIFT">_xlfn.LAMBDA(_xlpm.cell_coordinates,_xlpm.horizontal_moves,_xlpm.vertical_moves, ADDRESS(ROW(INDIRECT(_xlpm.cell_coordinates)) + _xlpm.vertical_moves, COLUMN(INDIRECT(_xlpm.cell_coordinates)) + _xlpm.horizontal_moves, 4, 1))</definedName>
    <definedName name="SHIFT_OOB">_xlfn.LAMBDA(_xlpm.cell_coordinates,_xlpm.horizontal_moves,_xlpm.vertical_moves, ADDRESS(IF(ROW(INDIRECT(_xlpm.cell_coordinates)) + _xlpm.horizontal_moves &lt; 1, 1, ROW(INDIRECT(_xlpm.cell_coordinates)) + _xlpm.horizontal_moves), IF(COLUMN(INDIRECT(_xlpm.cell_coordinates)) + _xlpm.vertical_moves &lt; 1, 1, COLUMN(INDIRECT(_xlpm.cell_coordinates)) + _xlpm.vertical_moves), 4, 1))</definedName>
    <definedName name="showFormulas">_xlfn.LAMBDA(_xlpm.Reference, _xlfn.LET(_xlpm.c, _xlpm.Reference, _xlpm.f, _xlfn.TOCOL(ADDRESS(ROW(_xlpm.c), COLUMN(_xlpm.c), 4) &amp; ": " &amp; _xlfn.FORMULATEXT(_xlpm.c), 3), _xlpm.r, _xlfn.DROP(_xlfn.REDUCE({""}, _xlpm.f, _xlfn.LAMBDA(_xlpm.s,_xlpm.x, _xlfn.VSTACK(_xlpm.s, _xlfn.TEXTSPLIT(_xlpm.x, , "
")))), 1), _xlpm.r))</definedName>
    <definedName name="splitByCharacter">_xlfn.LAMBDA(_xlpm.wrd,_xlop.len,_xlop.split, _xlfn.LET(_xlpm._len, MAX(_xlpm.len, 1), IF(_xlpm.split, MID(_xlpm.wrd, _xlfn.SEQUENCE(1, LEN(_xlpm.wrd) / _xlpm._len, 1, _xlpm._len), _xlpm._len), MID(_xlpm.wrd, _xlfn.SEQUENCE(1, LEN(_xlpm.wrd) - _xlpm._len + 1), _xlpm._len))))</definedName>
    <definedName name="splitNumbersFromText">_xlfn.LAMBDA(_xlpm.text_vector,_xlop.ignore_commas, _xlfn.LET(_xlpm.\\LambdaName, "SplitNumbersFromText", _xlpm.fnSplit, _xlfn.LAMBDA(_xlpm.text,_xlop.ignore_commas,_xlop.transpose_result, _xlfn.LET(_xlpm._chars, MID(_xlpm.text, _xlfn.SEQUENCE(LEN(_xlpm.text)), 1), _xlpm._isNumber, _xlfn.LET(_xlpm.codes, CODE(_xlpm._chars), _xlpm.priorCodes, _xlfn.VSTACK("", _xlfn.DROP(_xlpm.codes, -1)), _xlpm.nextCodes, _xlfn.VSTACK(_xlfn.DROP(_xlpm.codes, 1), ""), _xlpm.fnIsDigit, _xlfn.LAMBDA(_xlpm.x, (_xlpm.x &gt;= CODE("0")) * (_xlpm.x &lt;= CODE("9")) = 1), _xlpm.IsPeriod, _xlpm.codes = CODE("."), _xlpm.IsComma, (_xlpm.codes = CODE(",")) * ((_xlfn.ISOMITTED(_xlpm.ignore_commas) + (_xlpm.ignore_commas = FALSE))) &lt;&gt; 0, _xlpm.fnIsDigit(_xlpm.codes) + (_xlpm.IsPeriod + _xlpm.IsComma) * _xlpm.fnIsDigit(_xlpm.priorCodes) * _xlpm.fnIsDigit(_xlpm.nextCodes)), _xlpm._flip, _xlfn.VSTACK(_xlfn.DROP(_xlpm._isNumber, 1) &lt;&gt; _xlfn.DROP(_xlpm._isNumber, -1), FALSE), _xlpm._addDelimiter, _xlpm._chars &amp; IF(_xlpm._flip, "‡", ""), _xlpm._split, _xlfn.TEXTSPLIT(_xlfn.CONCAT(_xlpm._addDelimiter), "‡"), _xlpm._toNumbers, IFERROR(--_xlpm._split, _xlpm._split), _xlpm._result, IF(_xlpm.transpose_result, TRANSPOSE(_xlpm._toNumbers), _xlpm._toNumbers), _xlpm._result)), _xlpm._Transpose, COLUMNS(_xlpm.text_vector) &lt;&gt; 1, _xlpm._IsArray, TYPE(_xlpm.text_vector) = 64, _xlpm._Result, IF(_xlpm._IsArray, _xlfn.IFNA(tile(_xlpm.text_vector, _xlfn.LAMBDA(_xlpm.x, _xlpm.fnSplit(_xlpm.x, _xlpm.ignore_commas, _xlpm._Transpose))), ""), _xlpm.fnSplit(_xlpm.text_vector, _xlpm.ignore_commas, FALSE)), _xlpm._Result))</definedName>
    <definedName name="suits">{"♦";"♥";"♠";"♣"}</definedName>
    <definedName name="suitsOpp">{"♥";"♦";"♣";"♠"}</definedName>
    <definedName name="sumByColumn">_xlfn.LAMBDA(_xlpm.array, _xlfn.BYCOL(_xlpm.array, _xlfn.LAMBDA(_xlpm.col, SUM(_xlpm.col))))</definedName>
    <definedName name="sumByRow">_xlfn.LAMBDA(_xlpm.array, _xlfn.BYROW(_xlpm.array, _xlfn.LAMBDA(_xlpm.col, SUM(_xlpm.col))))</definedName>
    <definedName name="SumDist">_xlfn.LAMBDA(_xlpm.sum_distance_traveled, _xlfn.LET(
   _xlpm.\\LambdaName, "SumDist",
   _xlpm.\\CommandName, "Sum Distance of Arrows",
   _xlpm.\\Description, "diagonals count as 2 moves, others count as 1",
   _xlpm._Step1, IFERROR(extractNumbers(_xlpm.sum_distance_traveled), 1),
   _xlpm._Step2, arrowTable(),
   _xlpm._Step3, IFERROR(SUBSTITUTE(_xlpm.sum_distance_traveled, _xlpm._Step1, ""), 0),
   _xlpm._Step4, SUM(ABS(_xlfn.TAKE(_xlfn.DROP(_xlpm._Step2, 1), 1, -2))),
   _xlpm._Step5, SUM(ABS(_xlfn.TAKE(_xlfn.DROP(_xlpm._Step2, 2), 1, -2))),
   _xlpm._Step6, SUM(ABS(_xlfn.TAKE(_xlfn.DROP(_xlpm._Step2, 3), 1, -2))),
   _xlpm._Step7, SUM(ABS(_xlfn.TAKE(_xlfn.DROP(_xlpm._Step2, 4), 1, -2))),
   _xlpm._Step8, SUM(ABS(_xlfn.TAKE(_xlfn.DROP(_xlpm._Step2, 5), 1, -2))),
   _xlpm._Step9, SUM(ABS(_xlfn.TAKE(_xlfn.DROP(_xlpm._Step2, 6), 1, -2))),
   _xlpm._Step10, SUM(ABS(_xlfn.TAKE(_xlfn.DROP(_xlpm._Step2, 7), 1, -2))),
   _xlpm._Step11, SUM(ABS(_xlfn.TAKE(_xlpm._Step2, -1, -2))),
   _xlpm._Result, SUM(
      _xlpm._Step1
         * _xlfn.XLOOKUP(
            _xlpm._Step3,
            _xlfn.TAKE(_xlpm._Step2, -8, 1),
            _xlfn.VSTACK(_xlpm._Step4, _xlpm._Step5, _xlpm._Step6, _xlpm._Step7, _xlpm._Step8, _xlpm._Step9, _xlpm._Step10, _xlpm._Step11),
            0,
            0
         )
   ),
   _xlpm._Result
))</definedName>
    <definedName name="SumDistFromStart">_xlfn.LAMBDA(_xlpm.sum_distance_traveled, _xlfn.LET(
   _xlpm.\\LambdaName, "SumDistFromStart",
   _xlpm.\\CommandName, "Sum Distance From Start",
   _xlpm.\\Description, "Not total distance walked, distance at end from distance at start",
   _xlpm._Step1, IFERROR(extractNumbers(_xlpm.sum_distance_traveled), 1),
   _xlpm._Step2, IFERROR(SUBSTITUTE(_xlpm.sum_distance_traveled, _xlpm._Step1, ""), ""),
   _xlpm._Step3, arrowTable(),
   _xlpm._Step4, IFERROR(
      _xlpm._Step1 * _xlfn.XLOOKUP(_xlpm._Step2, _xlfn.TAKE(_xlpm._Step3, -8, 1), _xlfn.TAKE(_xlfn.DROP(_xlpm._Step3, , 1), -8, 1), 0, 0),
      0
   ),
   _xlpm._Step5, IFERROR(_xlpm._Step1 * _xlfn.XLOOKUP(_xlpm._Step2, _xlfn.TAKE(_xlpm._Step3, -8, 1), _xlfn.TAKE(_xlpm._Step3, -8, -1), 0, 0), 0),
   _xlpm._Step6, SUM(_xlpm._Step4),
   _xlpm._Step7, SUM(_xlpm._Step5),
   _xlpm._Result, ABS(_xlpm._Step6) + ABS(_xlpm._Step7),
   _xlpm._Result
))</definedName>
    <definedName name="sumEven">_xlfn.LAMBDA(_xlpm.arr, SUM(IF(ISEVEN(+_xlpm.arr), +_xlpm.arr, 0)))</definedName>
    <definedName name="sumOdd">_xlfn.LAMBDA(_xlpm.arr, SUM(IF(ISODD(+_xlpm.arr), +_xlpm.arr, 0)))</definedName>
    <definedName name="SWAP">_xlfn.LAMBDA(_xlpm.array,_xlpm.pos_one_x,_xlpm.pos_one_y,_xlpm.pos_two_x,_xlpm.pos_two_y, _xlfn.LET(_xlpm.a, INDEX(_xlpm.array, _xlpm.pos_one_x, _xlpm.pos_one_y), _xlpm.b, INDEX(_xlpm.array, _xlpm.pos_two_x, _xlpm.pos_two_y), _xlpm.arrr, SET(_xlpm.array, _xlpm.b, _xlpm.pos_one_x, _xlpm.pos_one_y), SET(_xlpm.arrr, _xlpm.a, _xlpm.pos_two_x, _xlpm.pos_two_y)))</definedName>
    <definedName name="TEXTBETWEEN">_xlfn.LAMBDA(_xlpm.text,_xlpm.start,_xlpm.end, _xlfn.TEXTAFTER(_xlfn.TEXTBEFORE(_xlpm.text, _xlpm.end), _xlpm.start))</definedName>
    <definedName name="TEXTREVERSE">_xlfn.LAMBDA(_xlpm.string, _xlfn.LET(_xlpm.stringLength, LEN(_xlpm.string), _xlpm.substring, RIGHT(_xlpm.string, _xlpm.stringLength - 1), _xlpm.firstChar, LEFT(_xlpm.string, 1), IF(LEN(_xlpm.string) = 0, _xlpm.string, TEXTREVERSE(_xlpm.substring) &amp; _xlpm.firstChar)))</definedName>
    <definedName name="Thousands_Separator">'Default Settings'!$C$10</definedName>
    <definedName name="Thunk">_xlfn.LAMBDA(_xlpm.x, _xlfn.LAMBDA(_xlpm.x))</definedName>
    <definedName name="tile">_xlfn.LAMBDA(_xlpm.params,_xlpm.function, _xlfn.LET(_xlpm.\\LambdaName, "TILE", _xlpm.\\CommandName, "Tile", _xlpm.\\Description, "Tile the outputs of a single-parameter function given an array map of parameters.", _xlpm.\\Parameters, {"params","array of parameters arranged how function results to be tiled";"function","single-parameter Lambda name or function"}, _xlpm.\\Source, "Written by @ExcelRobot but inspired by Owen Price's STACKER lambda.", _xlpm.firstrow, _xlpm.function(INDEX(_xlpm.params, 1, 1)), _xlpm.stacker, _xlfn.LAMBDA(_xlpm.stack,_xlpm.param, _xlfn.VSTACK(_xlpm.stack, _xlpm.function(_xlpm.param))), _xlpm.firstcol, IF(ROWS(_xlpm.params) = 1, _xlpm.firstrow, _xlfn.REDUCE(_xlpm.firstrow, _xlfn.DROP(_xlfn.TAKE(_xlpm.params, , 1), 1), _xlpm.stacker)), _xlpm.Result, IF(COLUMNS(_xlpm.params) = 1, _xlpm.firstcol, _xlfn.HSTACK(_xlpm.firstcol, tile(_xlfn.DROP(_xlpm.params, , 1), _xlpm.function))), _xlpm.Result))</definedName>
    <definedName name="unpivot">_xlfn.LAMBDA(_xlpm.table,_xlop.columns_to_unpivot,_xlop.attribute_name,_xlop.value_name,_xlop.remove_blanks, _xlfn.LET(_xlpm._ColumnsToUnpivot, IF(_xlfn.ISOMITTED(_xlpm.columns_to_unpivot), _xlfn.DROP(_xlfn.TAKE(_xlpm.table, 1), , 1), _xlpm.columns_to_unpivot), _xlpm._AttributeLabel, IF(_xlfn.ISOMITTED(_xlpm.attribute_name), "Attribute", _xlpm.attribute_name), _xlpm._ValueLabel, IF(_xlfn.ISOMITTED(_xlpm.value_name), "Value", _xlpm.value_name), _xlpm._FirstColumnToUnpivot, MATCH(INDEX(_xlpm._ColumnsToUnpivot, , 1), INDEX(_xlpm.table, 1, ), 0), _xlpm._UnpivotColumnCount, COLUMNS(_xlpm._ColumnsToUnpivot), _xlpm._ColumnNumbers, _xlfn.SEQUENCE(1, COLUMNS(_xlpm.table)), _xlpm._IncludeColumns, (_xlpm._ColumnNumbers &gt;= _xlpm._FirstColumnToUnpivot) * (_xlpm._ColumnNumbers &lt; _xlpm._FirstColumnToUnpivot + _xlpm._UnpivotColumnCount), _xlpm._UnpivotColumns, _xlfn._xlws.FILTER(_xlpm._ColumnNumbers, _xlpm._IncludeColumns), _xlpm._OtherColumns, _xlfn._xlws.FILTER(_xlpm._ColumnNumbers, NOT(_xlpm._IncludeColumns)), _xlpm._FullOuterJoin, crossJoin(_xlfn.CHOOSECOLS(_xlpm.table, _xlpm._OtherColumns), _xlfn.VSTACK(_xlpm._AttributeLabel, TRANSPOSE(_xlpm._ColumnsToUnpivot)), TRUE), _xlpm._WithValues, _xlfn.HSTACK(_xlpm._FullOuterJoin, _xlfn.VSTACK(_xlpm._ValueLabel, _xlfn.TOCOL(_xlfn.DROP(_xlfn.CHOOSECOLS(_xlpm.table, _xlpm._UnpivotColumns), 1)))), _xlpm._RemoveBlanks, IF(OR(_xlfn.ISOMITTED(_xlpm.remove_blanks), _xlpm.remove_blanks), _xlfn._xlws.FILTER(_xlpm._WithValues, INDEX(_xlpm._WithValues, , COLUMNS(_xlpm._WithValues)) &lt;&gt; ""), IF(_xlpm._WithValues = "", "", _xlpm._WithValues)), _xlpm._ColumnOrder, _xlfn.LET(_xlpm.n, COLUMNS(_xlpm._RemoveBlanks), _xlpm.s, _xlfn.SEQUENCE(1, _xlpm.n), _xlfn.IFS(_xlpm.s &lt; _xlpm._FirstColumnToUnpivot, _xlpm.s, _xlpm.s &lt; _xlpm._FirstColumnToUnpivot + 2, _xlpm.s + _xlpm.n - _xlpm._FirstColumnToUnpivot - 1, TRUE, _xlpm.s - 2)), _xlpm._Result, _xlfn.CHOOSECOLS(_xlpm._RemoveBlanks, _xlpm._ColumnOrder), _xlpm._Result))</definedName>
    <definedName name="Use_System_Separators">'Default Settings'!$C$12</definedName>
    <definedName name="XLOOKUP2D_byBendeLeon">_xlfn.LAMBDA(_xlpm.DataSource,_xlpm.RLU,_xlpm.CLU,_xlop.RowArray,_xlop.ColumnArray,_xlop.MatchMode,_xlop.SearchMode,_xlop.IfNotFound, _xlfn.LET(
   _xlpm.\\LambdaName, "XLOOKUP2D_byBendeLeon",
   _xlpm.\\CommandName, "2D lookup",
   _xlpm.\\Source, "Ben de Leon",
   _xlpm.RCInc, IF(_xlfn.ISOMITTED(_xlpm.RowArray), 1, 0) + IF(_xlfn.ISOMITTED(_xlpm.RowArray), 2, 0),
   _xlpm.UpdatedDataSource, CHOOSE(
      _xlpm.RCInc + 1,
      _xlpm.DataSource,
      _xlfn.DROP(_xlpm.DataSource, , 1),
      _xlfn.DROP(_xlpm.DataSource, 1),
      _xlfn.DROP(_xlpm.DataSource, 1, 1)
   ),
   IFERROR(
      INDEX(
         _xlpm.UpdatedDataSource,
         _xlfn.XMATCH(
            _xlpm.RLU,
            IF(
               _xlfn.ISOMITTED(_xlpm.RowArray),
               _xlfn.DROP(_xlfn.TAKE(_xlpm.DataSource, , 1), 1),
               _xlfn.TAKE(_xlpm.RowArray, , 1)
            ),
            IF(_xlfn.ISOMITTED(_xlpm.MatchMode), 0, _xlpm.MatchMode),
            IF(_xlfn.ISOMITTED(_xlpm.SearchMode), 1, _xlpm.SearchMode)
         ),
         _xlfn.XMATCH(
            _xlpm.CLU,
            IF(
               _xlfn.ISOMITTED(_xlpm.ColumnArray),
               _xlfn.DROP(_xlfn.TAKE(_xlpm.DataSource, 1), , 1),
               _xlfn.TAKE(_xlpm.ColumnArray, 1)
            ),
            IF(_xlfn.ISOMITTED(_xlpm.MatchMode), 0, _xlpm.MatchMode),
            IF(_xlfn.ISOMITTED(_xlpm.SearchMode), 1, _xlpm.SearchMode)
         )
      ),
      IF(_xlfn.ISOMITTED(_xlpm.IfNotFound), NA(), _xlpm.IfNotFound)
   )
))</definedName>
    <definedName name="XMOD_byJaqKennedy" comment="Returns the MOD of a value where the maximum value returns the divisor instead of 0.  ">_xlfn.LAMBDA(_xlpm.value,_xlpm.divisor,_xlfn.LET(_xlpm.\\LambdaName, "XMOD", _xlpm.\\CommandName, "MOD with max value", _xlpm.\\Description, "Returns the MOD of a value where the maximum value returns the divisor instead of 0", _xlpm.\\Source, "Jaq Kennedy", MOD(_xlpm.value - 1, _xlpm.divisor) + 1))</definedName>
    <definedName name="YOUAREHERE">_xlfn.LAMBDA(_xlpm.cell,_xlop.sheetname, IF(_xlfn.ISOMITTED(_xlpm.sheetname), ADDRESS(ROW(_xlpm.cell), COLUMN(_xlpm.cell), 4, TRUE), ADDRESS(ROW(_xlpm.cell), COLUMN(_xlpm.cell), 4, TRUE, _xlpm.sheetname)))</definedName>
    <definedName name="zigZag">_xlfn.LAMBDA(_xlpm.data,_xlop.CleanData,_xlop.Wrap, _xlfn.LET( _xlpm.\\LambdaName, "zigZag_v2", _xlpm._Clean, OR(_xlfn.ISOMITTED(_xlpm.CleanData), _xlpm.CleanData&lt;&gt;0), _xlpm._Wrap,  OR(_xlfn.ISOMITTED(_xlpm.Wrap), _xlpm.Wrap&lt;&gt;0), _xlpm.ClnData, BiRow_byPeterBartholomew( _xlpm.data, _xlfn.LAMBDA(_xlpm.r, _xlfn.TOROW(_xlpm.r, IF(_xlpm._Clean, 3, 0))) ), _xlpm.RowCnt, ROWS(_xlpm.ClnData), _xlpm.ColCnt, COLUMNS(_xlpm.ClnData), _xlpm.Base10, 10^ROUNDUP(LOG(_xlpm.ColCnt),0), _xlpm.SortKey, _xlfn.MAP( QUOTIENT(_xlfn.SEQUENCE(_xlpm.RowCnt,_xlpm.ColCnt,0),_xlpm.ColCnt)*_xlpm.Base10, MOD(_xlfn.SEQUENCE(_xlpm.RowCnt,_xlpm.ColCnt,0),_xlpm.ColCnt), MOD(_xlfn.SEQUENCE(_xlpm.RowCnt,_xlpm.ColCnt,_xlpm.ColCnt-1,-1),_xlpm.ColCnt), _xlfn.LAMBDA(_xlpm.C,_xlpm.RF,_xlpm.RB, _xlpm.C + IF(ISODD(ROUNDDOWN(_xlpm.C/_xlpm.Base10,0)), _xlpm.RB, _xlpm.RF) ) ), _xlpm.Snake, _xlfn.SORTBY(_xlfn.TOROW(_xlpm.ClnData), _xlfn.TOROW(_xlpm.SortKey), 1), IF(_xlpm._Wrap, _xlfn.WRAPROWS(_xlpm.Snake, _xlpm.ColCnt), _xlpm.Snake) 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4" l="1" a="1"/>
  <c r="B8" i="14" a="1"/>
  <c r="B8" i="14" s="1"/>
  <c r="O18" i="14" a="1"/>
  <c r="H11" i="14" a="1"/>
  <c r="D8" i="14" a="1"/>
  <c r="B7" i="20"/>
  <c r="H12" i="14" a="1"/>
  <c r="H10" i="14" a="1"/>
  <c r="I11" i="18"/>
  <c r="H11" i="18"/>
  <c r="H10" i="14" l="1"/>
  <c r="H8" i="14"/>
  <c r="O18" i="14"/>
  <c r="E20" i="14" s="1"/>
  <c r="I20" i="14" s="1" a="1"/>
  <c r="I20" i="14" s="1"/>
  <c r="J20" i="14" s="1"/>
  <c r="H11" i="14"/>
  <c r="I19" i="14" a="1"/>
  <c r="I19" i="14" s="1"/>
  <c r="H12" i="14"/>
  <c r="D8" i="14"/>
  <c r="X8" i="14" s="1" a="1"/>
  <c r="I25" i="14" l="1" a="1"/>
  <c r="I25" i="14" s="1"/>
  <c r="X8" i="14"/>
  <c r="B6" i="14"/>
  <c r="I16" i="14" a="1"/>
  <c r="I16" i="14" s="1"/>
  <c r="J25" i="14" a="1"/>
  <c r="J25" i="14" s="1"/>
  <c r="E15" i="14" a="1"/>
  <c r="E15" i="14" s="1"/>
  <c r="D6" i="14"/>
  <c r="E22" i="14" a="1"/>
  <c r="E22" i="14" s="1"/>
  <c r="H16" i="14" a="1"/>
  <c r="E14" i="14" a="1"/>
  <c r="E14" i="14" s="1"/>
  <c r="E28" i="14" l="1" a="1"/>
  <c r="E28" i="14" s="1"/>
  <c r="E27" i="14" a="1"/>
  <c r="E27" i="14" s="1"/>
  <c r="H16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<sst xmlns="http://schemas.openxmlformats.org/spreadsheetml/2006/main" count="685" uniqueCount="317">
  <si>
    <t>CompBot</t>
  </si>
  <si>
    <t>by Jaq Kennedy</t>
  </si>
  <si>
    <t>Robot Commands</t>
  </si>
  <si>
    <t>Lambdas Included</t>
  </si>
  <si>
    <t>Name</t>
  </si>
  <si>
    <t>Description</t>
  </si>
  <si>
    <t>Creator</t>
  </si>
  <si>
    <t>Harry Gross</t>
  </si>
  <si>
    <t>Splits out the characters in a string to an array</t>
  </si>
  <si>
    <t>Parameters</t>
  </si>
  <si>
    <t>Array friendly</t>
  </si>
  <si>
    <t>No</t>
  </si>
  <si>
    <t>"text" - string to be split</t>
  </si>
  <si>
    <t>Splits out the digits in a string to an array</t>
  </si>
  <si>
    <t>Create Blank Sheet</t>
  </si>
  <si>
    <t>Jaq Kennedy</t>
  </si>
  <si>
    <t>Creates a blank sheet named based on cell value (Sht otherwise)</t>
  </si>
  <si>
    <t>Output</t>
  </si>
  <si>
    <t>Load Lambdas</t>
  </si>
  <si>
    <t>Happy 45 ^ 2!</t>
  </si>
  <si>
    <t>Import Lambdas From</t>
  </si>
  <si>
    <t>Opens a browser to navigate to a workbook with the lambdas to load</t>
  </si>
  <si>
    <t>N/A</t>
  </si>
  <si>
    <t>"strWS" - sheet name (optional) set as value of active cell</t>
  </si>
  <si>
    <t>Launch Code</t>
  </si>
  <si>
    <t>ILF</t>
  </si>
  <si>
    <t>BS</t>
  </si>
  <si>
    <t>Opens a browser to navigate to a workbook with the lambdas to load. Use this as a one-off to set up your CompBot with your own lambdas.</t>
  </si>
  <si>
    <t>Import your lambdas from your own lambda library by clicking this icon or running the "Import Lambdas From" command</t>
  </si>
  <si>
    <t>Full Lambda List</t>
  </si>
  <si>
    <t>Documented Lambdas</t>
  </si>
  <si>
    <t xml:space="preserve"> </t>
  </si>
  <si>
    <t>Inputs</t>
  </si>
  <si>
    <t>IL</t>
  </si>
  <si>
    <t>Loads lambdas held in CompBot to the active workbook - easy load for competitions</t>
  </si>
  <si>
    <t>Backup Sheets in Workbook</t>
  </si>
  <si>
    <t>Create Level Sheets</t>
  </si>
  <si>
    <t>A</t>
  </si>
  <si>
    <t>B</t>
  </si>
  <si>
    <t>This cell</t>
  </si>
  <si>
    <t>And this cell</t>
  </si>
  <si>
    <t>Diarmuid Early</t>
  </si>
  <si>
    <t>Lianna Gerrish</t>
  </si>
  <si>
    <t>Returns the addresses of a range</t>
  </si>
  <si>
    <t>Input Range</t>
  </si>
  <si>
    <t>Yes</t>
  </si>
  <si>
    <t>Converts a grid to a single column with row number, column number, and address of each cell</t>
  </si>
  <si>
    <t>CL
CLS</t>
  </si>
  <si>
    <t>Default Settings</t>
  </si>
  <si>
    <t>Sets Default Settings as per the "Default Settings" sheet. 
Use this to reset Excel settings to your preferences. Base version is set up as per US English.</t>
  </si>
  <si>
    <t>As per "Default Settings" sheet</t>
  </si>
  <si>
    <t>DS</t>
  </si>
  <si>
    <t>Default Settings Header</t>
  </si>
  <si>
    <t>Decimal Separator</t>
  </si>
  <si>
    <t>Thousands Separator</t>
  </si>
  <si>
    <t>Use System Separators</t>
  </si>
  <si>
    <t>List Separator</t>
  </si>
  <si>
    <t>.</t>
  </si>
  <si>
    <t>,</t>
  </si>
  <si>
    <t>To update settings run command "Default Settings". Note this will not change Windows level settings, only Excel</t>
  </si>
  <si>
    <t>;</t>
  </si>
  <si>
    <t>Language</t>
  </si>
  <si>
    <t>English</t>
  </si>
  <si>
    <t>Afrikaans</t>
  </si>
  <si>
    <t>Example</t>
  </si>
  <si>
    <t>Does not update anything - for notification message only</t>
  </si>
  <si>
    <t>English (UK/US)</t>
  </si>
  <si>
    <t>Limited collection included with CompBot for demonstration. To add lambdas, view the Load Lambdas sheet or run "Import Lambdas From" Command</t>
  </si>
  <si>
    <t>Current list of CompBot Commands</t>
  </si>
  <si>
    <t>Create Data Table</t>
  </si>
  <si>
    <t>"strQ" - example number (optional) set as value of active cell if in format "Example*"</t>
  </si>
  <si>
    <t>DT
CDT</t>
  </si>
  <si>
    <t>Outputs populated columns B:D &amp; G:EE from "Case" sheet where B:B is numeric (i.e. for level rows)</t>
  </si>
  <si>
    <t>Lianna Gerrish / Helen Dupree</t>
  </si>
  <si>
    <t>Actual Lambdas List (UDF)</t>
  </si>
  <si>
    <t>Lambdas Listed in Info &amp; Examples</t>
  </si>
  <si>
    <t>Requires 'Case' sheet</t>
  </si>
  <si>
    <t>Notes</t>
  </si>
  <si>
    <t>NA</t>
  </si>
  <si>
    <t>Renames used range in sheets starting with text in active cell. Uses SanitizeRangeName function from "MEWC Robot" by Erik Oehm</t>
  </si>
  <si>
    <t>Name All Used Ranges</t>
  </si>
  <si>
    <t>NURS</t>
  </si>
  <si>
    <t>Renames used range in all sheets. Uses SanitizeRangeName function from "MEWC Robot" by Erik Oehm</t>
  </si>
  <si>
    <t>Erik Oehm</t>
  </si>
  <si>
    <t>Select cells in selection with same background color as active cell</t>
  </si>
  <si>
    <t>SBC</t>
  </si>
  <si>
    <t>Save Answers to Left</t>
  </si>
  <si>
    <t>SAL</t>
  </si>
  <si>
    <t>Active cell contains answers to copy</t>
  </si>
  <si>
    <t>Saves references to the selected cells in the green answer cells to the left on the same row. 
Then copies either answers or the formula below for paste into solution.</t>
  </si>
  <si>
    <t>TC</t>
  </si>
  <si>
    <t>IC</t>
  </si>
  <si>
    <t>Toggles calculation mode between manual and automatic. Status is set in StatusBar to not cause an interruption.</t>
  </si>
  <si>
    <t>Ensures Calc Mode is Automatic and then turns on iterative calculations.
Status is set in StatusBar to not cause an interruption.</t>
  </si>
  <si>
    <t>Creates a data table on the current sheet for level sheets "L#" or active cell = "Example#"
Turns on iterative calculations.</t>
  </si>
  <si>
    <t>Create Bonus Sheet</t>
  </si>
  <si>
    <t>CB
CBS</t>
  </si>
  <si>
    <t>BU</t>
  </si>
  <si>
    <t>Save Copy of File</t>
  </si>
  <si>
    <t>"strShtSuff" - suffix of file name (optional) set as value of active cell</t>
  </si>
  <si>
    <t>SA</t>
  </si>
  <si>
    <t>"strShtPref" - Prefix of sheet name to process</t>
  </si>
  <si>
    <t>Saves a copy of the file in the current location with the suffix "_Working" (for empty cell) or "_[[ActiveCell]]"</t>
  </si>
  <si>
    <t>refresh this UDF to see current list</t>
  </si>
  <si>
    <t>List of lambdas included with Comp Bot</t>
  </si>
  <si>
    <t>GRIDTOCOL_byLiannaGerrish</t>
  </si>
  <si>
    <t>Clear Lambdas</t>
  </si>
  <si>
    <t>Cleans workbook lambdas for upload to GitHub</t>
  </si>
  <si>
    <t>CL</t>
  </si>
  <si>
    <t>Sets up a case file by running the following VBA / commands together:
* Backup Sheets
* Create Level Sheets
* Create Bonus Sheet
* Create Case Input Sheet</t>
  </si>
  <si>
    <t>Returns a boolean for matches in an array to a list</t>
  </si>
  <si>
    <t>[array] - array to check
[list] - list of values to check against</t>
  </si>
  <si>
    <t>Filters an array based on a list</t>
  </si>
  <si>
    <t>[data] - array to check
[column_indexes] - columns to search
[list] - list of values to check against</t>
  </si>
  <si>
    <t>0/1 for lower/upper</t>
  </si>
  <si>
    <t>CountChar_byLiannaGerrish</t>
  </si>
  <si>
    <t xml:space="preserve">Performs a mod where the top value returns the divisor, e.g. instead of using MOD(CODE(letter)-1,26)+1, use XMOD(CODE(letter),26) </t>
  </si>
  <si>
    <t>Right aligns an array, shifting blanks to the left instead of right</t>
  </si>
  <si>
    <t>"input" - array to be aligned</t>
  </si>
  <si>
    <t>List letters in the alphabet</t>
  </si>
  <si>
    <t>[case] (optional) 1 - uppercase, 0 - lowercase</t>
  </si>
  <si>
    <t>LkpRCByRow</t>
  </si>
  <si>
    <t>Outputs first row and column of cell(s) where [ToFind] is found in [Range], [ToFind] as an array input</t>
  </si>
  <si>
    <t>[ToFind] - array of values to search for
[Range] - range to search in</t>
  </si>
  <si>
    <t>IFBLANK</t>
  </si>
  <si>
    <t>Replaces values in array with specified output if blank</t>
  </si>
  <si>
    <t>Gets day of week as text from number 1-7 where 1=Mon</t>
  </si>
  <si>
    <t>[DayNum] - day of week from 1 for Monday to 7 for Sunday</t>
  </si>
  <si>
    <t>XLOOKUP2D_byBendeLeon</t>
  </si>
  <si>
    <t>Ben deLeon</t>
  </si>
  <si>
    <t>2D XLOOKUP</t>
  </si>
  <si>
    <t>Shift letters by a given number</t>
  </si>
  <si>
    <t>Formula Robot</t>
  </si>
  <si>
    <t>D</t>
  </si>
  <si>
    <t>Auto Fill Down</t>
  </si>
  <si>
    <t>Command</t>
  </si>
  <si>
    <t>RTLV3</t>
  </si>
  <si>
    <t>SRC</t>
  </si>
  <si>
    <t>Sequence of Row Count</t>
  </si>
  <si>
    <t>Array Robot</t>
  </si>
  <si>
    <t>Ctrl-Shft-R</t>
  </si>
  <si>
    <t>Duplicate Array To Right</t>
  </si>
  <si>
    <t>FAL</t>
  </si>
  <si>
    <t>Find Above In Left</t>
  </si>
  <si>
    <t>MEWC Robot</t>
  </si>
  <si>
    <t>Ctrl-Shft-S
See "Eggy" command to get this bot</t>
  </si>
  <si>
    <t>Save Game Answer To Left</t>
  </si>
  <si>
    <t>CR</t>
  </si>
  <si>
    <t>Concatenate Array By Row</t>
  </si>
  <si>
    <t>SB1</t>
  </si>
  <si>
    <t>Substitute Blank for 1</t>
  </si>
  <si>
    <t>SB0</t>
  </si>
  <si>
    <t>Substitute Blank for 0</t>
  </si>
  <si>
    <t>KC</t>
  </si>
  <si>
    <t>Keep Columns Of Array</t>
  </si>
  <si>
    <t>DF</t>
  </si>
  <si>
    <t>Wrap in Drop First Row</t>
  </si>
  <si>
    <t>CON</t>
  </si>
  <si>
    <t>Wrap in Concat</t>
  </si>
  <si>
    <t>KR</t>
  </si>
  <si>
    <t>Keep Rows of Array</t>
  </si>
  <si>
    <t>TBSE</t>
  </si>
  <si>
    <t>Wrap with IFERROR TEXTBEFORE space</t>
  </si>
  <si>
    <t>Ctrl-Shft-G</t>
  </si>
  <si>
    <t>Full Setup Case</t>
  </si>
  <si>
    <t>Bot</t>
  </si>
  <si>
    <t>Type</t>
  </si>
  <si>
    <t>Case</t>
  </si>
  <si>
    <t>RTLV2</t>
  </si>
  <si>
    <t>Split By Character</t>
  </si>
  <si>
    <t>Wrap in UNICODE</t>
  </si>
  <si>
    <t>CODE</t>
  </si>
  <si>
    <t>If Error Then Blank</t>
  </si>
  <si>
    <t>EB</t>
  </si>
  <si>
    <t>Align Array to Right</t>
  </si>
  <si>
    <t>AR
Uses RightAlignedArray lambda</t>
  </si>
  <si>
    <t>Difference of Array Columns by Row</t>
  </si>
  <si>
    <t>DIFF
Uses DiffByRow lambda</t>
  </si>
  <si>
    <t>Negative Values</t>
  </si>
  <si>
    <t>NEG</t>
  </si>
  <si>
    <t>Lambda</t>
  </si>
  <si>
    <t>LkpRCbyRow(along# - array of values to lookup,People - range to look in)
Lambda by Jaq Kennedy</t>
  </si>
  <si>
    <t>Tday(along# + 1 - array of values to convert to a day in text format)</t>
  </si>
  <si>
    <t>Wrap in IFERROR with Space</t>
  </si>
  <si>
    <t>ERR</t>
  </si>
  <si>
    <t>LkpRCbyRow()</t>
  </si>
  <si>
    <t>TDay()</t>
  </si>
  <si>
    <t>If Error Then Zero (0)</t>
  </si>
  <si>
    <t>E0</t>
  </si>
  <si>
    <t>RTLV1</t>
  </si>
  <si>
    <t>LkpRC()</t>
  </si>
  <si>
    <t>LkpRCbyRow(G17 - value to lookup,YBR - range to look in)
Lambda by Jaq Kennedy</t>
  </si>
  <si>
    <t>LkpRCbyRow(H17 - value to lookup,YBR - range to look in)
Lambda by Jaq Kennedy</t>
  </si>
  <si>
    <t>Generate Lambda Statement</t>
  </si>
  <si>
    <t>Lambda Robot</t>
  </si>
  <si>
    <t>GL
Used to create dist lambda</t>
  </si>
  <si>
    <t>GRIDTOCOL_byLiannaGerrish(YBR - range to summarise)
Lambda by Lianna Gerrish</t>
  </si>
  <si>
    <t>Sort Array Asc</t>
  </si>
  <si>
    <t>KFR</t>
  </si>
  <si>
    <t>Keep First Row Of Array</t>
  </si>
  <si>
    <t>Level</t>
  </si>
  <si>
    <t>Splits out the letters in a string to an array</t>
  </si>
  <si>
    <t>COLROW</t>
  </si>
  <si>
    <t>ROWCOL</t>
  </si>
  <si>
    <t>from COLROW</t>
  </si>
  <si>
    <t>Returns column and row of an address string</t>
  </si>
  <si>
    <t>Returns row and column of an address string</t>
  </si>
  <si>
    <t>Zigs and Zags</t>
  </si>
  <si>
    <t>Peter Bartholomew</t>
  </si>
  <si>
    <t>BiRow_byPeterBartholomew</t>
  </si>
  <si>
    <t>for Thunking I Think</t>
  </si>
  <si>
    <t>DROPCOL_byLiannaGerrish</t>
  </si>
  <si>
    <t>[array] - array to amend
[column] - column to drop</t>
  </si>
  <si>
    <t>Drops a specified column from an array</t>
  </si>
  <si>
    <t>DiffByRow_byJaqKennedy</t>
  </si>
  <si>
    <t>Returns first column - last column in array</t>
  </si>
  <si>
    <t>[array] - array to get differences from</t>
  </si>
  <si>
    <t>TEXTREVERSE</t>
  </si>
  <si>
    <t>?</t>
  </si>
  <si>
    <t>Recursively reverse a string of characters</t>
  </si>
  <si>
    <t>[string] - string to reverse</t>
  </si>
  <si>
    <t>XMOD_byJaqKennedy</t>
  </si>
  <si>
    <t>[value] - value to MOD
[divisor] - divisor</t>
  </si>
  <si>
    <t>Indirect function with cell and optional sheet name</t>
  </si>
  <si>
    <t>[cell] - cell address to fetch
[sheetname] (optional) - name of sheet to fetch</t>
  </si>
  <si>
    <t>Returns array with min and max of a range</t>
  </si>
  <si>
    <t>[range] - range to get min and max from</t>
  </si>
  <si>
    <t>Return cells around target cell</t>
  </si>
  <si>
    <t>CellsAround_byBendeLeon</t>
  </si>
  <si>
    <t>[ref] - cell reference
[coloff] - column offset
[rowoff] - row offset
see function for more</t>
  </si>
  <si>
    <t>COL</t>
  </si>
  <si>
    <t>Short version of COLUMN</t>
  </si>
  <si>
    <t>[cell] (optional) - cell to get column from</t>
  </si>
  <si>
    <t>RightAlignedArray_byJaqKennedy</t>
  </si>
  <si>
    <t>Import Lambda Library</t>
  </si>
  <si>
    <t>Aligns array to the right with blanks to left</t>
  </si>
  <si>
    <t>Create Case Inputs Sheet</t>
  </si>
  <si>
    <t>Goto Similar Background Color</t>
  </si>
  <si>
    <t>Lookup Value by Row</t>
  </si>
  <si>
    <t>Returns RC location of a list of values in a range</t>
  </si>
  <si>
    <t>Name Used Ranges</t>
  </si>
  <si>
    <t>Negative values. with errors as blank</t>
  </si>
  <si>
    <t>Rename Sheets</t>
  </si>
  <si>
    <t>Sequence of row count of array variable</t>
  </si>
  <si>
    <t>Substitute blank values for 0</t>
  </si>
  <si>
    <t>Substitute blank cells for 1</t>
  </si>
  <si>
    <t>Toggle Calculation Mode</t>
  </si>
  <si>
    <t>Toggle Iterative Calculation</t>
  </si>
  <si>
    <t>Wrap in ABS</t>
  </si>
  <si>
    <t>Wrap in abs.</t>
  </si>
  <si>
    <t>ABS</t>
  </si>
  <si>
    <t>Wrap in concat.</t>
  </si>
  <si>
    <t>Wrap in drop first row</t>
  </si>
  <si>
    <t>Wrap in IFERROR with space</t>
  </si>
  <si>
    <t>Wrap in iferror.</t>
  </si>
  <si>
    <t>Wrap in Take by Copied Cell Columns</t>
  </si>
  <si>
    <t>Wrap in take by copied cell columns.</t>
  </si>
  <si>
    <t>TCC</t>
  </si>
  <si>
    <t>Wrap in UNICHAR</t>
  </si>
  <si>
    <t>Wrap in unichar.</t>
  </si>
  <si>
    <t>Wrap in unicode.</t>
  </si>
  <si>
    <t>Wraps current formula with TEXTBEFORE space with IFERROR in case space doesn't exist</t>
  </si>
  <si>
    <t>AR</t>
  </si>
  <si>
    <t>Active cell contains array</t>
  </si>
  <si>
    <t>CIS
IS</t>
  </si>
  <si>
    <t>Active cell contains array with at least 2 columns</t>
  </si>
  <si>
    <t>DIFF
DBR</t>
  </si>
  <si>
    <t>Find above value(s) in left value(s).
Applies a FIND function to find cells where there is a match</t>
  </si>
  <si>
    <t>Cell above and to left of active cell should be populated</t>
  </si>
  <si>
    <t>Ctrl-Shift-G</t>
  </si>
  <si>
    <t>"list" - list of values to look up in a 2D range
"range" - range to look up</t>
  </si>
  <si>
    <t>RS</t>
  </si>
  <si>
    <t>INCLUDED IN "Full Setup Case"
Backs up all sheets in the active workbook</t>
  </si>
  <si>
    <t xml:space="preserve">INCLUDED IN "Full Setup Case"
Creates a sheet for bonus questions in the Case sheet. </t>
  </si>
  <si>
    <t>INCLUDED IN "Full Setup Case"
Creates a sheet for each level in the Case sheet. 
By default this excludes data tables. To add a data table run Create Data Table command below when in a "L#" sheet or when on an "Example#" cell.</t>
  </si>
  <si>
    <t>INCLUDED IN "Full Setup Case"
Creates a case inputs sheet with the inputs for the current case.
By default this loads all columns from column B onwards into an array (excl E:F). 
If run on a cell with non-blank value, this will find headers and return only those that are not standard columns for Points, Answers, etc. Question number will still be included.</t>
  </si>
  <si>
    <t>INCLUDED IN "Full Setup Case"
Rename multi-word sheet names</t>
  </si>
  <si>
    <t>Active cell array range becomes negative of current value</t>
  </si>
  <si>
    <t>LKP</t>
  </si>
  <si>
    <t>Returns a sequence from 1 to the number of rows in the array in the active cell</t>
  </si>
  <si>
    <t>Wraps in a SUBSTITUTE function replacing blanks with 0</t>
  </si>
  <si>
    <t>Wraps in a SUBSTITUTE function replacing blanks with 1</t>
  </si>
  <si>
    <t>Wraps in an ABS function</t>
  </si>
  <si>
    <t>Wraps in a CONCAT function</t>
  </si>
  <si>
    <t>CHAR</t>
  </si>
  <si>
    <t>Wraps in a DROP function to drop the first row</t>
  </si>
  <si>
    <t>Wraps in an IFERROR using a space for errors</t>
  </si>
  <si>
    <t>Wraps in a TAKE function to take the first x columns where x is on the clipboard</t>
  </si>
  <si>
    <t>Wraps in a UNICHAR function</t>
  </si>
  <si>
    <t>Wraps in a UNICODE function</t>
  </si>
  <si>
    <t>Wraps in a TEXTBEFORE using a space and allowing for errors where no spaces exist to return the full input</t>
  </si>
  <si>
    <t>Keep Cell of Array</t>
  </si>
  <si>
    <t>KTC</t>
  </si>
  <si>
    <t>Keeps the selected cell of an array</t>
  </si>
  <si>
    <t>Wraps in a CHOOSEROWS &amp; CHOOSECOLS to pick up the active cell</t>
  </si>
  <si>
    <t>Split Text by Delimiter Above</t>
  </si>
  <si>
    <t>Wrapps the current formula in a TRIM + TEXTSPLIT based on the delimiter in the cell above</t>
  </si>
  <si>
    <t>Above cell contains delimiter</t>
  </si>
  <si>
    <t>ST</t>
  </si>
  <si>
    <t>Unlisted Lambdas</t>
  </si>
  <si>
    <t>INTSECT</t>
  </si>
  <si>
    <t>Intersect of 2 named ranges</t>
  </si>
  <si>
    <t>[name1], [name2] as strings</t>
  </si>
  <si>
    <t>filterRowsByList</t>
  </si>
  <si>
    <t>isInList</t>
  </si>
  <si>
    <t>caseInputs</t>
  </si>
  <si>
    <t>addresses</t>
  </si>
  <si>
    <t>letters</t>
  </si>
  <si>
    <t>gridToCol</t>
  </si>
  <si>
    <t>numToDayOfWeek</t>
  </si>
  <si>
    <t>letterShift</t>
  </si>
  <si>
    <t>easyIndirect</t>
  </si>
  <si>
    <t>minAndMax</t>
  </si>
  <si>
    <t>extractLetters</t>
  </si>
  <si>
    <t>(Removed) EXTRACTCHAR_byHarryGross</t>
  </si>
  <si>
    <t>extractNumbers</t>
  </si>
  <si>
    <t>zigZag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</si>
</sst>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12" x14ac:knownFonts="1">
    <font>
      <sz val="16"/>
      <color theme="1"/>
      <name val="Verdana"/>
      <family val="2"/>
    </font>
    <font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5"/>
      <color theme="3"/>
      <name val="Verdana"/>
      <family val="2"/>
    </font>
    <font>
      <b/>
      <sz val="13"/>
      <color theme="3"/>
      <name val="Verdana"/>
      <family val="2"/>
    </font>
    <font>
      <i/>
      <sz val="16"/>
      <color rgb="FF7F7F7F"/>
      <name val="Verdana"/>
      <family val="2"/>
    </font>
    <font>
      <sz val="16"/>
      <color theme="1"/>
      <name val="Verdana"/>
      <family val="2"/>
    </font>
    <font>
      <sz val="16"/>
      <color rgb="FF0000FF"/>
      <name val="Verdana"/>
      <family val="2"/>
    </font>
    <font>
      <sz val="20"/>
      <color theme="1"/>
      <name val="Aptos"/>
      <family val="2"/>
    </font>
    <font>
      <sz val="8"/>
      <name val="Verdana"/>
      <family val="2"/>
    </font>
    <font>
      <sz val="14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 style="thin">
        <color indexed="64"/>
      </top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0" applyNumberFormat="0" applyFill="0" applyBorder="0" applyAlignment="0" applyProtection="0"/>
    <xf numFmtId="43" fontId="7" fillId="0" borderId="0" applyFont="0" applyFill="0" applyBorder="0" applyAlignment="0" applyProtection="0"/>
    <xf numFmtId="0" fontId="9" fillId="0" borderId="0"/>
    <xf numFmtId="0" fontId="3" fillId="0" borderId="0"/>
    <xf numFmtId="0" fontId="11" fillId="5" borderId="0" applyNumberFormat="0" applyBorder="0" applyAlignment="0" applyProtection="0"/>
  </cellStyleXfs>
  <cellXfs count="27">
    <xf numFmtId="0" fontId="0" fillId="0" borderId="0" xfId="0"/>
    <xf numFmtId="0" fontId="4" fillId="0" borderId="1" xfId="1" applyAlignment="1">
      <alignment horizontal="centerContinuous"/>
    </xf>
    <xf numFmtId="0" fontId="6" fillId="0" borderId="0" xfId="3" applyAlignment="1">
      <alignment horizontal="centerContinuous"/>
    </xf>
    <xf numFmtId="0" fontId="5" fillId="0" borderId="2" xfId="2" applyAlignment="1">
      <alignment horizontal="centerContinuous"/>
    </xf>
    <xf numFmtId="0" fontId="0" fillId="0" borderId="0" xfId="0" quotePrefix="1"/>
    <xf numFmtId="0" fontId="0" fillId="0" borderId="0" xfId="0" applyAlignment="1">
      <alignment wrapText="1"/>
    </xf>
    <xf numFmtId="0" fontId="5" fillId="0" borderId="3" xfId="2" applyBorder="1" applyAlignment="1">
      <alignment horizontal="centerContinuous"/>
    </xf>
    <xf numFmtId="0" fontId="0" fillId="2" borderId="0" xfId="0" applyFill="1"/>
    <xf numFmtId="0" fontId="5" fillId="2" borderId="3" xfId="2" applyFill="1" applyBorder="1" applyAlignment="1">
      <alignment horizontal="centerContinuous"/>
    </xf>
    <xf numFmtId="0" fontId="4" fillId="0" borderId="1" xfId="1" applyAlignment="1">
      <alignment horizontal="centerContinuous" vertical="top"/>
    </xf>
    <xf numFmtId="0" fontId="6" fillId="0" borderId="0" xfId="3" applyAlignment="1">
      <alignment horizontal="centerContinuous" vertical="top"/>
    </xf>
    <xf numFmtId="0" fontId="5" fillId="0" borderId="2" xfId="2" applyAlignment="1">
      <alignment horizontal="centerContinuous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0" fillId="0" borderId="4" xfId="0" applyBorder="1"/>
    <xf numFmtId="0" fontId="8" fillId="3" borderId="4" xfId="0" applyFont="1" applyFill="1" applyBorder="1"/>
    <xf numFmtId="43" fontId="0" fillId="0" borderId="0" xfId="4" applyFont="1"/>
    <xf numFmtId="0" fontId="6" fillId="0" borderId="0" xfId="3"/>
    <xf numFmtId="0" fontId="0" fillId="4" borderId="0" xfId="0" applyFill="1" applyAlignment="1">
      <alignment vertical="top" wrapText="1"/>
    </xf>
    <xf numFmtId="0" fontId="0" fillId="4" borderId="0" xfId="0" applyFill="1" applyAlignment="1">
      <alignment vertical="top"/>
    </xf>
    <xf numFmtId="0" fontId="3" fillId="0" borderId="0" xfId="6"/>
    <xf numFmtId="0" fontId="3" fillId="0" borderId="0" xfId="6" applyAlignment="1">
      <alignment wrapText="1"/>
    </xf>
    <xf numFmtId="0" fontId="2" fillId="0" borderId="0" xfId="6" applyFont="1"/>
    <xf numFmtId="0" fontId="2" fillId="0" borderId="0" xfId="6" applyFont="1" applyAlignment="1">
      <alignment wrapText="1"/>
    </xf>
    <xf numFmtId="0" fontId="1" fillId="0" borderId="0" xfId="6" applyFont="1"/>
    <xf numFmtId="0" fontId="11" fillId="5" borderId="0" xfId="7"/>
  </cellXfs>
  <cellStyles count="8">
    <cellStyle name="Accent5" xfId="7" builtinId="45"/>
    <cellStyle name="Comma" xfId="4" builtinId="3"/>
    <cellStyle name="Explanatory Text" xfId="3" builtinId="53"/>
    <cellStyle name="Heading 1" xfId="1" builtinId="16"/>
    <cellStyle name="Heading 2" xfId="2" builtinId="17"/>
    <cellStyle name="Normal" xfId="0" builtinId="0"/>
    <cellStyle name="Normal 2" xfId="5" xr:uid="{53B8B56D-3D7E-4F7E-B529-7864F5AB8F8C}"/>
    <cellStyle name="Normal 3" xfId="6" xr:uid="{7783C125-C323-4B99-8562-C686E3DE3AD8}"/>
  </cellStyles>
  <dxfs count="17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general" vertical="bottom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</dxfs>
  <tableStyles count="1" defaultTableStyle="TableStyleMedium1" defaultPivotStyle="PivotStyleLight16">
    <tableStyle name="Invisible" pivot="0" table="0" count="0" xr9:uid="{07CA7B3B-BEF1-4752-9AB6-251FF4D39D2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17/06/relationships/rdRichValueTypes" Target="richData/rdRichValueType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openxmlformats.org/officeDocument/2006/relationships/customXml" Target="../customXml/item24.xml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42" Type="http://schemas.microsoft.com/office/2006/relationships/vbaProject" Target="vbaProject.bin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41" Type="http://schemas.openxmlformats.org/officeDocument/2006/relationships/customXml" Target="../customXml/item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06/relationships/rdRichValue" Target="richData/rdrichvalue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40" Type="http://schemas.openxmlformats.org/officeDocument/2006/relationships/customXml" Target="../customXml/item25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sheetMetadata" Target="metadata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10/relationships/person" Target="persons/person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microsoft.com/office/2017/06/relationships/rdRichValueStructure" Target="richData/rdrichvaluestructure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1590675</xdr:colOff>
      <xdr:row>5</xdr:row>
      <xdr:rowOff>152400</xdr:rowOff>
    </xdr:from>
    <xdr:to>
      <xdr:col>3</xdr:col>
      <xdr:colOff>2505075</xdr:colOff>
      <xdr:row>9</xdr:row>
      <xdr:rowOff>66675</xdr:rowOff>
    </xdr:to>
    <xdr:pic macro="[0]!ImportLambdasFrom">
      <xdr:nvPicPr>
        <xdr:cNvPr id="3" name="Graphic 2" descr="Folder Search with solid fill">
          <a:extLst>
            <a:ext uri="{FF2B5EF4-FFF2-40B4-BE49-F238E27FC236}">
              <a16:creationId xmlns:a16="http://schemas.microsoft.com/office/drawing/2014/main" id="{A149C987-E87F-44C3-EFAB-13184C5E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9825" y="1409700"/>
          <a:ext cx="914400" cy="9144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25</v>
    <v>8</v>
    <v>0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E802B9B-08EB-4C44-ADCD-CE545C09BA4B}" name="CompBotCommands" displayName="CompBotCommands" ref="B8:F45" totalsRowShown="0" headerRowDxfId="16" dataDxfId="15">
  <autoFilter ref="B8:F45" xr:uid="{0094C780-BB06-4D44-A3B5-11A203AC5962}"/>
  <sortState xmlns:xlrd2="http://schemas.microsoft.com/office/spreadsheetml/2017/richdata2" ref="B9:F45">
    <sortCondition ref="B8:B45"/>
  </sortState>
  <tableColumns count="5">
    <tableColumn id="1" xr3:uid="{E0991380-7C68-4019-8397-222B470C1582}" name="Name" dataDxfId="14"/>
    <tableColumn id="2" xr3:uid="{1D428C75-77DF-45DA-912B-098A1ABAC5AD}" name="Creator" dataDxfId="13"/>
    <tableColumn id="3" xr3:uid="{A6B3CCED-8990-4FBA-ACFB-9A1799381525}" name="Description" dataDxfId="12"/>
    <tableColumn id="4" xr3:uid="{476E0F6A-DE40-44D5-A6AE-77D5D1C4F9C6}" name="Parameters" dataDxfId="11"/>
    <tableColumn id="5" xr3:uid="{1906B3F5-C5BE-47F5-9821-1B5225407536}" name="Launch Code" dataDxfId="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58CB64-4555-4E76-9388-CC0298969050}" name="Lambdas" displayName="Lambdas" ref="B8:F37" totalsRowShown="0" headerRowDxfId="9" dataDxfId="8">
  <autoFilter ref="B8:F37" xr:uid="{A558CB64-4555-4E76-9388-CC0298969050}"/>
  <tableColumns count="5">
    <tableColumn id="1" xr3:uid="{C7B661F8-E847-4A13-A5CD-4111AD54A043}" name="Name" dataDxfId="7"/>
    <tableColumn id="2" xr3:uid="{402102D7-5F04-4A93-A427-CDD8E9743522}" name="Creator" dataDxfId="6"/>
    <tableColumn id="3" xr3:uid="{29C5C72F-191A-47D7-A0A3-65C070A08FBB}" name="Description" dataDxfId="5"/>
    <tableColumn id="4" xr3:uid="{2F739A7B-0273-48EB-80E8-8D0D97BADC77}" name="Parameters" dataDxfId="4"/>
    <tableColumn id="5" xr3:uid="{AA688AE3-B095-461C-B6E9-13454B67819F}" name="Array friendly" dataDxfId="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2841AF-C078-46E5-98E5-0DBC8B538EEB}" name="ImportLambdaCommand" displayName="ImportLambdaCommand" ref="B13:E14" totalsRowShown="0">
  <autoFilter ref="B13:E14" xr:uid="{062841AF-C078-46E5-98E5-0DBC8B538EEB}"/>
  <tableColumns count="4">
    <tableColumn id="1" xr3:uid="{B7A8EBE5-4AA7-4017-9E01-3C21991FBCE0}" name="Name"/>
    <tableColumn id="2" xr3:uid="{1D3AFEAB-85C7-4BA0-A61C-6A270805FD0C}" name="Creator"/>
    <tableColumn id="3" xr3:uid="{EE4BFA1A-37AC-43B0-A9CE-62FBC1007399}" name="Description" dataDxfId="2"/>
    <tableColumn id="4" xr3:uid="{8D1BA30C-9144-4469-AEE1-00A653AFC79F}" name="Parameters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71F562-C497-4C97-8A83-2DC396F656C0}" name="CompBot_Speedrun_Steps" displayName="CompBot_Speedrun_Steps" ref="B2:G61" totalsRowShown="0">
  <autoFilter ref="B2:G61" xr:uid="{34AF53D5-485D-4EE0-83A6-8753432441C8}"/>
  <tableColumns count="6">
    <tableColumn id="1" xr3:uid="{72541FCB-FBC6-4FEB-900C-B4DFF7966C4B}" name="Case"/>
    <tableColumn id="2" xr3:uid="{10CA4B4C-9ED5-4889-AD6A-B8EF111A530D}" name="Level"/>
    <tableColumn id="3" xr3:uid="{BB891B21-5990-4D57-BF36-015289B7A725}" name="Type"/>
    <tableColumn id="4" xr3:uid="{53C4AD17-FA78-4213-851A-E3B3A1BC04CB}" name="Name"/>
    <tableColumn id="5" xr3:uid="{5C175970-9B61-41D2-A9D7-BFF5C506D483}" name="Notes"/>
    <tableColumn id="6" xr3:uid="{C3BB5949-9D3D-4F00-B5BE-B46153C18FD8}" name="Bot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7">
    <wetp:webextensionref xmlns:r="http://schemas.openxmlformats.org/officeDocument/2006/relationships" r:id="rId1"/>
  </wetp:taskpane>
  <wetp:taskpane dockstate="right" visibility="0" width="525" row="1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D2C48E40-3AEE-49B9-942C-1F6046BC2B9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DB75D044-D14C-46B9-B18F-FB21AE37D1B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331CFE6-4B1A-46AA-B887-DC7B6265EA7D}">
  <we:reference id="wa200001584" version="2.8.1.5" store="en-US" storeType="OMEX"/>
  <we:alternateReferences>
    <we:reference id="WA200001584" version="2.8.1.5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34E3B-00EF-47A9-90C0-A9D4FFD6B695}">
  <sheetPr codeName="Sheet2"/>
  <dimension ref="B2:J45"/>
  <sheetViews>
    <sheetView showGridLines="0" tabSelected="1" zoomScale="70" zoomScaleNormal="70" workbookViewId="0">
      <pane xSplit="3" ySplit="8" topLeftCell="D9" activePane="bottomRight" state="frozen"/>
      <selection pane="topRight" activeCell="D1" sqref="D1"/>
      <selection pane="bottomLeft" activeCell="A19" sqref="A19"/>
      <selection pane="bottomRight" activeCell="D9" sqref="D9"/>
    </sheetView>
  </sheetViews>
  <sheetFormatPr defaultRowHeight="19.8" x14ac:dyDescent="0.3"/>
  <cols>
    <col min="1" max="1" width="2.17578125" customWidth="1"/>
    <col min="2" max="2" width="30.52734375" style="12" bestFit="1" customWidth="1"/>
    <col min="3" max="3" width="17.8203125" style="12" customWidth="1"/>
    <col min="4" max="4" width="55.3515625" style="12" bestFit="1" customWidth="1"/>
    <col min="5" max="5" width="30.9375" style="12" customWidth="1"/>
    <col min="6" max="6" width="15" style="12" bestFit="1" customWidth="1"/>
    <col min="7" max="10" width="1.76171875" customWidth="1"/>
  </cols>
  <sheetData>
    <row r="2" spans="2:10" ht="21" thickBot="1" x14ac:dyDescent="0.4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.399999999999999" thickTop="1" x14ac:dyDescent="0.3">
      <c r="B3" s="10"/>
      <c r="C3" s="10"/>
      <c r="D3" s="10"/>
      <c r="E3" s="10"/>
      <c r="F3" s="10"/>
      <c r="G3" s="2"/>
      <c r="H3" s="2"/>
      <c r="I3" s="2"/>
      <c r="J3" s="2"/>
    </row>
    <row r="5" spans="2:10" ht="20.399999999999999" thickBot="1" x14ac:dyDescent="0.35">
      <c r="B5" s="11" t="s">
        <v>2</v>
      </c>
      <c r="C5" s="11"/>
      <c r="D5" s="11"/>
      <c r="E5" s="11"/>
      <c r="F5" s="11"/>
      <c r="G5" s="3"/>
      <c r="H5" s="3"/>
      <c r="I5" s="3"/>
      <c r="J5" s="3"/>
    </row>
    <row r="6" spans="2:10" ht="20.399999999999999" thickTop="1" x14ac:dyDescent="0.3">
      <c r="B6" s="10" t="s">
        <v>68</v>
      </c>
      <c r="C6" s="10"/>
      <c r="D6" s="10"/>
      <c r="E6" s="10"/>
      <c r="F6" s="10"/>
      <c r="G6" s="2"/>
      <c r="H6" s="2"/>
      <c r="I6" s="2"/>
      <c r="J6" s="2"/>
    </row>
    <row r="7" spans="2:10" x14ac:dyDescent="0.3">
      <c r="B7" s="12">
        <f>ROWS(CompBotCommands[])</f>
        <v>37</v>
      </c>
    </row>
    <row r="8" spans="2:10" x14ac:dyDescent="0.3">
      <c r="B8" s="12" t="s">
        <v>4</v>
      </c>
      <c r="C8" s="12" t="s">
        <v>6</v>
      </c>
      <c r="D8" s="12" t="s">
        <v>5</v>
      </c>
      <c r="E8" s="12" t="s">
        <v>9</v>
      </c>
      <c r="F8" s="12" t="s">
        <v>24</v>
      </c>
    </row>
    <row r="9" spans="2:10" x14ac:dyDescent="0.3">
      <c r="B9" s="13" t="s">
        <v>174</v>
      </c>
      <c r="C9" s="12" t="s">
        <v>15</v>
      </c>
      <c r="D9" s="13" t="s">
        <v>235</v>
      </c>
      <c r="E9" s="13" t="s">
        <v>263</v>
      </c>
      <c r="F9" s="12" t="s">
        <v>262</v>
      </c>
    </row>
    <row r="10" spans="2:10" ht="39.6" x14ac:dyDescent="0.3">
      <c r="B10" s="19" t="s">
        <v>35</v>
      </c>
      <c r="C10" s="20" t="s">
        <v>15</v>
      </c>
      <c r="D10" s="19" t="s">
        <v>272</v>
      </c>
      <c r="E10" s="19" t="s">
        <v>22</v>
      </c>
      <c r="F10" s="20" t="s">
        <v>97</v>
      </c>
    </row>
    <row r="11" spans="2:10" x14ac:dyDescent="0.3">
      <c r="B11" s="13" t="s">
        <v>106</v>
      </c>
      <c r="C11" s="12" t="s">
        <v>15</v>
      </c>
      <c r="D11" s="13" t="s">
        <v>107</v>
      </c>
      <c r="E11" s="13" t="s">
        <v>22</v>
      </c>
      <c r="F11" s="13" t="s">
        <v>108</v>
      </c>
    </row>
    <row r="12" spans="2:10" ht="39.6" x14ac:dyDescent="0.3">
      <c r="B12" s="13" t="s">
        <v>14</v>
      </c>
      <c r="C12" s="12" t="s">
        <v>15</v>
      </c>
      <c r="D12" s="13" t="s">
        <v>16</v>
      </c>
      <c r="E12" s="13" t="s">
        <v>23</v>
      </c>
      <c r="F12" s="12" t="s">
        <v>26</v>
      </c>
    </row>
    <row r="13" spans="2:10" ht="39.6" x14ac:dyDescent="0.3">
      <c r="B13" s="19" t="s">
        <v>95</v>
      </c>
      <c r="C13" s="20" t="s">
        <v>15</v>
      </c>
      <c r="D13" s="19" t="s">
        <v>273</v>
      </c>
      <c r="E13" s="19" t="s">
        <v>22</v>
      </c>
      <c r="F13" s="19" t="s">
        <v>96</v>
      </c>
    </row>
    <row r="14" spans="2:10" ht="138.6" x14ac:dyDescent="0.3">
      <c r="B14" s="19" t="s">
        <v>236</v>
      </c>
      <c r="C14" s="20" t="s">
        <v>15</v>
      </c>
      <c r="D14" s="19" t="s">
        <v>275</v>
      </c>
      <c r="E14" s="19" t="s">
        <v>22</v>
      </c>
      <c r="F14" s="19" t="s">
        <v>264</v>
      </c>
    </row>
    <row r="15" spans="2:10" ht="59.4" x14ac:dyDescent="0.3">
      <c r="B15" s="13" t="s">
        <v>69</v>
      </c>
      <c r="C15" s="12" t="s">
        <v>15</v>
      </c>
      <c r="D15" s="13" t="s">
        <v>94</v>
      </c>
      <c r="E15" s="13" t="s">
        <v>70</v>
      </c>
      <c r="F15" s="13" t="s">
        <v>71</v>
      </c>
    </row>
    <row r="16" spans="2:10" ht="99" x14ac:dyDescent="0.3">
      <c r="B16" s="19" t="s">
        <v>36</v>
      </c>
      <c r="C16" s="20" t="s">
        <v>15</v>
      </c>
      <c r="D16" s="19" t="s">
        <v>274</v>
      </c>
      <c r="E16" s="19" t="s">
        <v>22</v>
      </c>
      <c r="F16" s="19" t="s">
        <v>47</v>
      </c>
    </row>
    <row r="17" spans="2:6" ht="59.4" x14ac:dyDescent="0.3">
      <c r="B17" s="13" t="s">
        <v>48</v>
      </c>
      <c r="C17" s="12" t="s">
        <v>15</v>
      </c>
      <c r="D17" s="13" t="s">
        <v>49</v>
      </c>
      <c r="E17" s="13" t="s">
        <v>50</v>
      </c>
      <c r="F17" s="12" t="s">
        <v>51</v>
      </c>
    </row>
    <row r="18" spans="2:6" ht="52.5" customHeight="1" x14ac:dyDescent="0.3">
      <c r="B18" s="12" t="s">
        <v>176</v>
      </c>
      <c r="C18" s="12" t="s">
        <v>15</v>
      </c>
      <c r="D18" s="13" t="s">
        <v>215</v>
      </c>
      <c r="E18" s="13" t="s">
        <v>265</v>
      </c>
      <c r="F18" s="13" t="s">
        <v>266</v>
      </c>
    </row>
    <row r="19" spans="2:6" ht="52.5" customHeight="1" x14ac:dyDescent="0.3">
      <c r="B19" s="12" t="s">
        <v>143</v>
      </c>
      <c r="C19" s="12" t="s">
        <v>15</v>
      </c>
      <c r="D19" s="13" t="s">
        <v>267</v>
      </c>
      <c r="E19" s="13" t="s">
        <v>268</v>
      </c>
      <c r="F19" s="12" t="s">
        <v>142</v>
      </c>
    </row>
    <row r="20" spans="2:6" ht="118.8" x14ac:dyDescent="0.3">
      <c r="B20" s="13" t="s">
        <v>164</v>
      </c>
      <c r="C20" s="12" t="s">
        <v>15</v>
      </c>
      <c r="D20" s="13" t="s">
        <v>109</v>
      </c>
      <c r="E20" s="13" t="s">
        <v>22</v>
      </c>
      <c r="F20" s="12" t="s">
        <v>269</v>
      </c>
    </row>
    <row r="21" spans="2:6" x14ac:dyDescent="0.3">
      <c r="B21" s="13" t="s">
        <v>237</v>
      </c>
      <c r="C21" s="12" t="s">
        <v>83</v>
      </c>
      <c r="D21" s="13" t="s">
        <v>84</v>
      </c>
      <c r="E21" s="13" t="s">
        <v>22</v>
      </c>
      <c r="F21" s="12" t="s">
        <v>85</v>
      </c>
    </row>
    <row r="22" spans="2:6" ht="39.6" x14ac:dyDescent="0.3">
      <c r="B22" s="13" t="s">
        <v>234</v>
      </c>
      <c r="C22" s="12" t="s">
        <v>15</v>
      </c>
      <c r="D22" s="13" t="s">
        <v>34</v>
      </c>
      <c r="E22" s="13" t="s">
        <v>22</v>
      </c>
      <c r="F22" s="12" t="s">
        <v>33</v>
      </c>
    </row>
    <row r="23" spans="2:6" ht="59.4" x14ac:dyDescent="0.3">
      <c r="B23" s="13" t="s">
        <v>20</v>
      </c>
      <c r="C23" s="12" t="s">
        <v>15</v>
      </c>
      <c r="D23" s="13" t="s">
        <v>27</v>
      </c>
      <c r="E23" s="13" t="s">
        <v>22</v>
      </c>
      <c r="F23" s="12" t="s">
        <v>25</v>
      </c>
    </row>
    <row r="24" spans="2:6" ht="59.4" x14ac:dyDescent="0.3">
      <c r="B24" s="13" t="s">
        <v>291</v>
      </c>
      <c r="C24" s="12" t="s">
        <v>15</v>
      </c>
      <c r="D24" s="13" t="s">
        <v>293</v>
      </c>
      <c r="E24" s="13" t="s">
        <v>294</v>
      </c>
      <c r="F24" s="12" t="s">
        <v>292</v>
      </c>
    </row>
    <row r="25" spans="2:6" ht="59.4" x14ac:dyDescent="0.3">
      <c r="B25" s="12" t="s">
        <v>238</v>
      </c>
      <c r="C25" s="12" t="s">
        <v>15</v>
      </c>
      <c r="D25" s="13" t="s">
        <v>239</v>
      </c>
      <c r="E25" s="13" t="s">
        <v>270</v>
      </c>
      <c r="F25" s="12" t="s">
        <v>278</v>
      </c>
    </row>
    <row r="26" spans="2:6" ht="39.6" x14ac:dyDescent="0.3">
      <c r="B26" s="13" t="s">
        <v>80</v>
      </c>
      <c r="C26" s="12" t="s">
        <v>15</v>
      </c>
      <c r="D26" s="13" t="s">
        <v>82</v>
      </c>
      <c r="E26" s="13" t="s">
        <v>22</v>
      </c>
      <c r="F26" s="12" t="s">
        <v>78</v>
      </c>
    </row>
    <row r="27" spans="2:6" ht="59.4" x14ac:dyDescent="0.3">
      <c r="B27" s="13" t="s">
        <v>240</v>
      </c>
      <c r="C27" s="12" t="s">
        <v>15</v>
      </c>
      <c r="D27" s="13" t="s">
        <v>79</v>
      </c>
      <c r="E27" s="13" t="s">
        <v>101</v>
      </c>
      <c r="F27" s="12" t="s">
        <v>81</v>
      </c>
    </row>
    <row r="28" spans="2:6" ht="39.6" x14ac:dyDescent="0.3">
      <c r="B28" s="12" t="s">
        <v>178</v>
      </c>
      <c r="C28" s="12" t="s">
        <v>15</v>
      </c>
      <c r="D28" s="13" t="s">
        <v>241</v>
      </c>
      <c r="E28" s="13" t="s">
        <v>277</v>
      </c>
      <c r="F28" s="12" t="s">
        <v>179</v>
      </c>
    </row>
    <row r="29" spans="2:6" ht="39.6" x14ac:dyDescent="0.3">
      <c r="B29" s="20" t="s">
        <v>242</v>
      </c>
      <c r="C29" s="20" t="s">
        <v>15</v>
      </c>
      <c r="D29" s="19" t="s">
        <v>276</v>
      </c>
      <c r="E29" s="19" t="s">
        <v>22</v>
      </c>
      <c r="F29" s="19" t="s">
        <v>271</v>
      </c>
    </row>
    <row r="30" spans="2:6" ht="79.2" x14ac:dyDescent="0.3">
      <c r="B30" s="13" t="s">
        <v>86</v>
      </c>
      <c r="C30" s="12" t="s">
        <v>83</v>
      </c>
      <c r="D30" s="13" t="s">
        <v>89</v>
      </c>
      <c r="E30" s="13" t="s">
        <v>88</v>
      </c>
      <c r="F30" s="12" t="s">
        <v>87</v>
      </c>
    </row>
    <row r="31" spans="2:6" ht="39.6" x14ac:dyDescent="0.3">
      <c r="B31" s="13" t="s">
        <v>98</v>
      </c>
      <c r="C31" s="12" t="s">
        <v>15</v>
      </c>
      <c r="D31" s="13" t="s">
        <v>102</v>
      </c>
      <c r="E31" s="13" t="s">
        <v>99</v>
      </c>
      <c r="F31" s="12" t="s">
        <v>100</v>
      </c>
    </row>
    <row r="32" spans="2:6" ht="59.4" x14ac:dyDescent="0.3">
      <c r="B32" s="13" t="s">
        <v>138</v>
      </c>
      <c r="C32" s="12" t="s">
        <v>15</v>
      </c>
      <c r="D32" s="13" t="s">
        <v>243</v>
      </c>
      <c r="E32" s="13" t="s">
        <v>279</v>
      </c>
      <c r="F32" s="12" t="s">
        <v>137</v>
      </c>
    </row>
    <row r="33" spans="2:6" ht="39.6" x14ac:dyDescent="0.3">
      <c r="B33" s="13" t="s">
        <v>295</v>
      </c>
      <c r="C33" s="12" t="s">
        <v>15</v>
      </c>
      <c r="D33" s="13" t="s">
        <v>296</v>
      </c>
      <c r="E33" s="13" t="s">
        <v>297</v>
      </c>
      <c r="F33" s="12" t="s">
        <v>298</v>
      </c>
    </row>
    <row r="34" spans="2:6" ht="39.6" x14ac:dyDescent="0.3">
      <c r="B34" s="13" t="s">
        <v>152</v>
      </c>
      <c r="C34" s="12" t="s">
        <v>15</v>
      </c>
      <c r="D34" s="13" t="s">
        <v>244</v>
      </c>
      <c r="E34" s="13" t="s">
        <v>280</v>
      </c>
      <c r="F34" s="12" t="s">
        <v>151</v>
      </c>
    </row>
    <row r="35" spans="2:6" ht="39.6" x14ac:dyDescent="0.3">
      <c r="B35" s="13" t="s">
        <v>150</v>
      </c>
      <c r="C35" s="12" t="s">
        <v>15</v>
      </c>
      <c r="D35" s="13" t="s">
        <v>245</v>
      </c>
      <c r="E35" s="13" t="s">
        <v>281</v>
      </c>
      <c r="F35" s="12" t="s">
        <v>149</v>
      </c>
    </row>
    <row r="36" spans="2:6" ht="39.6" x14ac:dyDescent="0.3">
      <c r="B36" s="13" t="s">
        <v>246</v>
      </c>
      <c r="C36" s="12" t="s">
        <v>15</v>
      </c>
      <c r="D36" s="13" t="s">
        <v>92</v>
      </c>
      <c r="E36" s="13"/>
      <c r="F36" s="12" t="s">
        <v>90</v>
      </c>
    </row>
    <row r="37" spans="2:6" ht="59.4" x14ac:dyDescent="0.3">
      <c r="B37" s="13" t="s">
        <v>247</v>
      </c>
      <c r="C37" s="12" t="s">
        <v>15</v>
      </c>
      <c r="D37" s="13" t="s">
        <v>93</v>
      </c>
      <c r="E37" s="13"/>
      <c r="F37" s="12" t="s">
        <v>91</v>
      </c>
    </row>
    <row r="38" spans="2:6" x14ac:dyDescent="0.3">
      <c r="B38" s="13" t="s">
        <v>248</v>
      </c>
      <c r="C38" s="12" t="s">
        <v>15</v>
      </c>
      <c r="D38" s="13" t="s">
        <v>249</v>
      </c>
      <c r="E38" s="13" t="s">
        <v>282</v>
      </c>
      <c r="F38" s="12" t="s">
        <v>250</v>
      </c>
    </row>
    <row r="39" spans="2:6" x14ac:dyDescent="0.3">
      <c r="B39" s="13" t="s">
        <v>158</v>
      </c>
      <c r="C39" s="12" t="s">
        <v>15</v>
      </c>
      <c r="D39" s="13" t="s">
        <v>251</v>
      </c>
      <c r="E39" s="13" t="s">
        <v>283</v>
      </c>
      <c r="F39" s="12" t="s">
        <v>157</v>
      </c>
    </row>
    <row r="40" spans="2:6" ht="39.6" x14ac:dyDescent="0.3">
      <c r="B40" s="13" t="s">
        <v>156</v>
      </c>
      <c r="C40" s="12" t="s">
        <v>15</v>
      </c>
      <c r="D40" s="13" t="s">
        <v>252</v>
      </c>
      <c r="E40" s="13" t="s">
        <v>285</v>
      </c>
      <c r="F40" s="12" t="s">
        <v>155</v>
      </c>
    </row>
    <row r="41" spans="2:6" ht="39.6" x14ac:dyDescent="0.3">
      <c r="B41" s="13" t="s">
        <v>253</v>
      </c>
      <c r="C41" s="12" t="s">
        <v>15</v>
      </c>
      <c r="D41" s="13" t="s">
        <v>254</v>
      </c>
      <c r="E41" s="13" t="s">
        <v>286</v>
      </c>
      <c r="F41" s="12" t="s">
        <v>184</v>
      </c>
    </row>
    <row r="42" spans="2:6" ht="59.4" x14ac:dyDescent="0.3">
      <c r="B42" s="13" t="s">
        <v>255</v>
      </c>
      <c r="C42" s="12" t="s">
        <v>15</v>
      </c>
      <c r="D42" s="13" t="s">
        <v>256</v>
      </c>
      <c r="E42" s="13" t="s">
        <v>287</v>
      </c>
      <c r="F42" s="12" t="s">
        <v>257</v>
      </c>
    </row>
    <row r="43" spans="2:6" x14ac:dyDescent="0.3">
      <c r="B43" s="13" t="s">
        <v>258</v>
      </c>
      <c r="C43" s="12" t="s">
        <v>15</v>
      </c>
      <c r="D43" s="13" t="s">
        <v>259</v>
      </c>
      <c r="E43" s="13" t="s">
        <v>288</v>
      </c>
      <c r="F43" s="12" t="s">
        <v>284</v>
      </c>
    </row>
    <row r="44" spans="2:6" x14ac:dyDescent="0.3">
      <c r="B44" s="13" t="s">
        <v>170</v>
      </c>
      <c r="C44" s="12" t="s">
        <v>15</v>
      </c>
      <c r="D44" s="13" t="s">
        <v>260</v>
      </c>
      <c r="E44" s="13" t="s">
        <v>289</v>
      </c>
      <c r="F44" s="12" t="s">
        <v>171</v>
      </c>
    </row>
    <row r="45" spans="2:6" ht="79.2" x14ac:dyDescent="0.3">
      <c r="B45" s="13" t="s">
        <v>162</v>
      </c>
      <c r="C45" s="12" t="s">
        <v>15</v>
      </c>
      <c r="D45" s="13" t="s">
        <v>261</v>
      </c>
      <c r="E45" s="13" t="s">
        <v>290</v>
      </c>
      <c r="F45" s="12" t="s">
        <v>161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D3A34-71C7-4DC2-9014-0F23075467A6}">
  <sheetPr codeName="Sheet3"/>
  <dimension ref="B5:M13"/>
  <sheetViews>
    <sheetView showGridLines="0" workbookViewId="0">
      <pane ySplit="5" topLeftCell="A6" activePane="bottomLeft" state="frozenSplit"/>
      <selection pane="bottomLeft" activeCell="A6" sqref="A6"/>
    </sheetView>
  </sheetViews>
  <sheetFormatPr defaultRowHeight="19.8" x14ac:dyDescent="0.3"/>
  <cols>
    <col min="1" max="1" width="1.703125" customWidth="1"/>
    <col min="2" max="2" width="20" bestFit="1" customWidth="1"/>
    <col min="3" max="3" width="11.17578125" bestFit="1" customWidth="1"/>
    <col min="4" max="4" width="3.05859375" customWidth="1"/>
    <col min="5" max="5" width="14.05859375" bestFit="1" customWidth="1"/>
    <col min="6" max="6" width="11.17578125" bestFit="1" customWidth="1"/>
    <col min="7" max="7" width="1.46875" customWidth="1"/>
    <col min="8" max="8" width="10" customWidth="1"/>
    <col min="9" max="9" width="10.3515625" bestFit="1" customWidth="1"/>
    <col min="10" max="10" width="18.46875" bestFit="1" customWidth="1"/>
  </cols>
  <sheetData>
    <row r="5" spans="2:13" ht="21" thickBot="1" x14ac:dyDescent="0.4">
      <c r="B5" s="1" t="s">
        <v>52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2:13" ht="20.399999999999999" thickTop="1" x14ac:dyDescent="0.3">
      <c r="B6" s="2" t="s">
        <v>59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8" spans="2:13" x14ac:dyDescent="0.3">
      <c r="E8" t="s">
        <v>66</v>
      </c>
      <c r="F8" t="s">
        <v>63</v>
      </c>
      <c r="H8" t="s">
        <v>64</v>
      </c>
    </row>
    <row r="9" spans="2:13" x14ac:dyDescent="0.3">
      <c r="B9" s="14" t="s">
        <v>53</v>
      </c>
      <c r="C9" s="16" t="s">
        <v>57</v>
      </c>
      <c r="E9" s="15" t="s">
        <v>57</v>
      </c>
      <c r="F9" s="15" t="s">
        <v>58</v>
      </c>
      <c r="H9" s="17">
        <v>1000.23</v>
      </c>
    </row>
    <row r="10" spans="2:13" x14ac:dyDescent="0.3">
      <c r="B10" s="14" t="s">
        <v>54</v>
      </c>
      <c r="C10" s="16" t="s">
        <v>58</v>
      </c>
      <c r="E10" s="15" t="s">
        <v>58</v>
      </c>
      <c r="F10" s="15" t="s">
        <v>31</v>
      </c>
      <c r="H10" s="17">
        <v>1000.23</v>
      </c>
    </row>
    <row r="11" spans="2:13" x14ac:dyDescent="0.3">
      <c r="B11" s="14" t="s">
        <v>56</v>
      </c>
      <c r="C11" s="16" t="s">
        <v>58</v>
      </c>
      <c r="E11" s="15" t="s">
        <v>58</v>
      </c>
      <c r="F11" s="15" t="s">
        <v>60</v>
      </c>
      <c r="H11" t="str">
        <f>_xlfn.CONCAT(D9,E9,F9)</f>
        <v>.,</v>
      </c>
      <c r="I11" t="str">
        <f ca="1">_xlfn.FORMULATEXT(H11)</f>
        <v>=CONCAT(D9,E9,F9)</v>
      </c>
    </row>
    <row r="12" spans="2:13" x14ac:dyDescent="0.3">
      <c r="B12" s="14" t="s">
        <v>55</v>
      </c>
      <c r="C12" s="16" t="b">
        <v>1</v>
      </c>
      <c r="E12" s="15" t="b">
        <v>1</v>
      </c>
      <c r="F12" s="15" t="b">
        <v>0</v>
      </c>
    </row>
    <row r="13" spans="2:13" x14ac:dyDescent="0.3">
      <c r="B13" s="14" t="s">
        <v>61</v>
      </c>
      <c r="C13" s="16" t="s">
        <v>62</v>
      </c>
      <c r="E13" s="15" t="s">
        <v>62</v>
      </c>
      <c r="F13" s="15" t="s">
        <v>63</v>
      </c>
      <c r="H13" s="18" t="s">
        <v>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C283-8BFF-48F4-994B-00D1D8B34BBC}">
  <sheetPr codeName="Sheet1"/>
  <dimension ref="B2:J37"/>
  <sheetViews>
    <sheetView showGridLines="0" zoomScale="55" zoomScaleNormal="55" workbookViewId="0">
      <pane xSplit="3" ySplit="8" topLeftCell="D17" activePane="bottomRight" state="frozen"/>
      <selection pane="topRight" activeCell="D1" sqref="D1"/>
      <selection pane="bottomLeft" activeCell="A9" sqref="A9"/>
      <selection pane="bottomRight" activeCell="D8" sqref="D8"/>
    </sheetView>
  </sheetViews>
  <sheetFormatPr defaultRowHeight="19.8" x14ac:dyDescent="0.3"/>
  <cols>
    <col min="1" max="1" width="2.17578125" customWidth="1"/>
    <col min="2" max="2" width="30.52734375" style="12" bestFit="1" customWidth="1"/>
    <col min="3" max="3" width="17.8203125" style="12" customWidth="1"/>
    <col min="4" max="4" width="55.3515625" style="12" bestFit="1" customWidth="1"/>
    <col min="5" max="5" width="35.234375" style="12" bestFit="1" customWidth="1"/>
    <col min="6" max="6" width="15" style="12" bestFit="1" customWidth="1"/>
    <col min="7" max="10" width="1.76171875" customWidth="1"/>
  </cols>
  <sheetData>
    <row r="2" spans="2:10" ht="21" thickBot="1" x14ac:dyDescent="0.4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.399999999999999" thickTop="1" x14ac:dyDescent="0.3">
      <c r="B3" s="10" t="s">
        <v>1</v>
      </c>
      <c r="C3" s="10"/>
      <c r="D3" s="10"/>
      <c r="E3" s="10"/>
      <c r="F3" s="10"/>
      <c r="G3" s="2"/>
      <c r="H3" s="2"/>
      <c r="I3" s="2"/>
      <c r="J3" s="2"/>
    </row>
    <row r="5" spans="2:10" ht="20.399999999999999" thickBot="1" x14ac:dyDescent="0.35">
      <c r="B5" s="11" t="s">
        <v>3</v>
      </c>
      <c r="C5" s="11"/>
      <c r="D5" s="11"/>
      <c r="E5" s="11"/>
      <c r="F5" s="11"/>
      <c r="G5" s="3"/>
      <c r="H5" s="3"/>
      <c r="I5" s="3"/>
      <c r="J5" s="3"/>
    </row>
    <row r="6" spans="2:10" ht="20.399999999999999" thickTop="1" x14ac:dyDescent="0.3">
      <c r="B6" s="10" t="s">
        <v>67</v>
      </c>
      <c r="C6" s="10"/>
      <c r="D6" s="10"/>
      <c r="E6" s="10"/>
      <c r="F6" s="10"/>
      <c r="G6" s="2"/>
      <c r="H6" s="2"/>
      <c r="I6" s="2"/>
      <c r="J6" s="2"/>
    </row>
    <row r="8" spans="2:10" x14ac:dyDescent="0.3">
      <c r="B8" s="12" t="s">
        <v>4</v>
      </c>
      <c r="C8" s="12" t="s">
        <v>6</v>
      </c>
      <c r="D8" s="12" t="s">
        <v>5</v>
      </c>
      <c r="E8" s="12" t="s">
        <v>9</v>
      </c>
      <c r="F8" s="12" t="s">
        <v>10</v>
      </c>
    </row>
    <row r="9" spans="2:10" x14ac:dyDescent="0.3">
      <c r="B9" s="12" t="s">
        <v>314</v>
      </c>
      <c r="C9" s="12" t="s">
        <v>7</v>
      </c>
      <c r="D9" s="12" t="s">
        <v>8</v>
      </c>
      <c r="E9" s="12" t="s">
        <v>12</v>
      </c>
      <c r="F9" s="12" t="s">
        <v>11</v>
      </c>
    </row>
    <row r="10" spans="2:10" x14ac:dyDescent="0.3">
      <c r="B10" s="12" t="s">
        <v>313</v>
      </c>
      <c r="C10" s="12" t="s">
        <v>7</v>
      </c>
      <c r="D10" s="12" t="s">
        <v>201</v>
      </c>
      <c r="E10" s="12" t="s">
        <v>12</v>
      </c>
      <c r="F10" s="12" t="s">
        <v>11</v>
      </c>
    </row>
    <row r="11" spans="2:10" x14ac:dyDescent="0.3">
      <c r="B11" s="12" t="s">
        <v>315</v>
      </c>
      <c r="C11" s="12" t="s">
        <v>7</v>
      </c>
      <c r="D11" s="12" t="s">
        <v>13</v>
      </c>
      <c r="E11" s="12" t="s">
        <v>12</v>
      </c>
      <c r="F11" s="12" t="s">
        <v>11</v>
      </c>
    </row>
    <row r="12" spans="2:10" x14ac:dyDescent="0.3">
      <c r="B12" s="12" t="s">
        <v>306</v>
      </c>
      <c r="C12" s="12" t="s">
        <v>41</v>
      </c>
      <c r="D12" s="12" t="s">
        <v>43</v>
      </c>
      <c r="E12" s="12" t="s">
        <v>44</v>
      </c>
      <c r="F12" s="12" t="s">
        <v>45</v>
      </c>
    </row>
    <row r="13" spans="2:10" ht="39.6" x14ac:dyDescent="0.3">
      <c r="B13" s="12" t="s">
        <v>308</v>
      </c>
      <c r="C13" s="12" t="s">
        <v>42</v>
      </c>
      <c r="D13" s="13" t="s">
        <v>46</v>
      </c>
      <c r="E13" s="12" t="s">
        <v>44</v>
      </c>
      <c r="F13" s="12" t="s">
        <v>45</v>
      </c>
    </row>
    <row r="14" spans="2:10" ht="39.6" x14ac:dyDescent="0.3">
      <c r="B14" s="12" t="s">
        <v>305</v>
      </c>
      <c r="C14" s="13" t="s">
        <v>73</v>
      </c>
      <c r="D14" s="13" t="s">
        <v>72</v>
      </c>
      <c r="E14" s="12" t="s">
        <v>22</v>
      </c>
      <c r="F14" s="12" t="s">
        <v>45</v>
      </c>
    </row>
    <row r="15" spans="2:10" ht="39.6" x14ac:dyDescent="0.3">
      <c r="B15" s="12" t="s">
        <v>304</v>
      </c>
      <c r="C15" s="13" t="s">
        <v>83</v>
      </c>
      <c r="D15" s="13" t="s">
        <v>110</v>
      </c>
      <c r="E15" s="13" t="s">
        <v>111</v>
      </c>
      <c r="F15" s="12" t="s">
        <v>45</v>
      </c>
    </row>
    <row r="16" spans="2:10" ht="59.4" x14ac:dyDescent="0.3">
      <c r="B16" s="12" t="s">
        <v>303</v>
      </c>
      <c r="C16" s="13" t="s">
        <v>83</v>
      </c>
      <c r="D16" s="13" t="s">
        <v>112</v>
      </c>
      <c r="E16" s="13" t="s">
        <v>113</v>
      </c>
      <c r="F16" s="12" t="s">
        <v>45</v>
      </c>
    </row>
    <row r="17" spans="2:6" ht="39.6" x14ac:dyDescent="0.3">
      <c r="B17" s="12" t="s">
        <v>307</v>
      </c>
      <c r="C17" s="12" t="s">
        <v>15</v>
      </c>
      <c r="D17" s="12" t="s">
        <v>119</v>
      </c>
      <c r="E17" s="13" t="s">
        <v>120</v>
      </c>
      <c r="F17" s="12" t="s">
        <v>11</v>
      </c>
    </row>
    <row r="18" spans="2:6" x14ac:dyDescent="0.3">
      <c r="B18" s="12" t="s">
        <v>115</v>
      </c>
      <c r="C18" s="12" t="s">
        <v>42</v>
      </c>
    </row>
    <row r="19" spans="2:6" ht="59.4" x14ac:dyDescent="0.3">
      <c r="B19" s="12" t="s">
        <v>221</v>
      </c>
      <c r="C19" s="12" t="s">
        <v>15</v>
      </c>
      <c r="D19" s="13" t="s">
        <v>116</v>
      </c>
      <c r="E19" s="13" t="s">
        <v>222</v>
      </c>
    </row>
    <row r="20" spans="2:6" x14ac:dyDescent="0.3">
      <c r="B20" s="12" t="s">
        <v>233</v>
      </c>
      <c r="C20" s="12" t="s">
        <v>15</v>
      </c>
      <c r="D20" s="12" t="s">
        <v>117</v>
      </c>
      <c r="E20" s="12" t="s">
        <v>118</v>
      </c>
      <c r="F20" s="12" t="s">
        <v>45</v>
      </c>
    </row>
    <row r="21" spans="2:6" ht="39.6" x14ac:dyDescent="0.3">
      <c r="B21" t="s">
        <v>121</v>
      </c>
      <c r="C21" s="12" t="s">
        <v>15</v>
      </c>
      <c r="D21" s="12" t="s">
        <v>122</v>
      </c>
      <c r="E21" s="13" t="s">
        <v>123</v>
      </c>
      <c r="F21" s="12" t="s">
        <v>45</v>
      </c>
    </row>
    <row r="22" spans="2:6" x14ac:dyDescent="0.3">
      <c r="B22" s="12" t="s">
        <v>124</v>
      </c>
      <c r="C22" s="12" t="s">
        <v>83</v>
      </c>
      <c r="D22" s="12" t="s">
        <v>125</v>
      </c>
      <c r="F22" s="12" t="s">
        <v>45</v>
      </c>
    </row>
    <row r="23" spans="2:6" ht="39.6" x14ac:dyDescent="0.3">
      <c r="B23" s="12" t="s">
        <v>309</v>
      </c>
      <c r="C23" s="12" t="s">
        <v>15</v>
      </c>
      <c r="D23" s="12" t="s">
        <v>126</v>
      </c>
      <c r="E23" s="13" t="s">
        <v>127</v>
      </c>
      <c r="F23" s="12" t="s">
        <v>45</v>
      </c>
    </row>
    <row r="24" spans="2:6" x14ac:dyDescent="0.3">
      <c r="B24" s="12" t="s">
        <v>128</v>
      </c>
      <c r="C24" s="12" t="s">
        <v>129</v>
      </c>
      <c r="D24" s="12" t="s">
        <v>130</v>
      </c>
    </row>
    <row r="25" spans="2:6" x14ac:dyDescent="0.3">
      <c r="B25" s="12" t="s">
        <v>310</v>
      </c>
      <c r="C25" s="12" t="s">
        <v>129</v>
      </c>
      <c r="D25" s="12" t="s">
        <v>131</v>
      </c>
    </row>
    <row r="26" spans="2:6" x14ac:dyDescent="0.3">
      <c r="B26" s="12" t="s">
        <v>202</v>
      </c>
      <c r="C26" s="12" t="s">
        <v>42</v>
      </c>
      <c r="D26" s="12" t="s">
        <v>205</v>
      </c>
      <c r="F26" s="12" t="s">
        <v>11</v>
      </c>
    </row>
    <row r="27" spans="2:6" x14ac:dyDescent="0.3">
      <c r="B27" s="12" t="s">
        <v>203</v>
      </c>
      <c r="C27" s="12" t="s">
        <v>204</v>
      </c>
      <c r="D27" s="12" t="s">
        <v>206</v>
      </c>
      <c r="F27" s="12" t="s">
        <v>11</v>
      </c>
    </row>
    <row r="28" spans="2:6" x14ac:dyDescent="0.3">
      <c r="B28" s="12" t="s">
        <v>316</v>
      </c>
      <c r="C28" s="12" t="s">
        <v>129</v>
      </c>
      <c r="D28" s="12" t="s">
        <v>207</v>
      </c>
      <c r="F28" s="12" t="s">
        <v>45</v>
      </c>
    </row>
    <row r="29" spans="2:6" x14ac:dyDescent="0.3">
      <c r="B29" s="12" t="s">
        <v>209</v>
      </c>
      <c r="C29" s="12" t="s">
        <v>208</v>
      </c>
      <c r="D29" s="12" t="s">
        <v>210</v>
      </c>
      <c r="F29" s="12" t="s">
        <v>45</v>
      </c>
    </row>
    <row r="30" spans="2:6" ht="39.6" x14ac:dyDescent="0.3">
      <c r="B30" s="12" t="s">
        <v>211</v>
      </c>
      <c r="C30" s="12" t="s">
        <v>42</v>
      </c>
      <c r="D30" s="12" t="s">
        <v>213</v>
      </c>
      <c r="E30" s="13" t="s">
        <v>212</v>
      </c>
      <c r="F30" s="12" t="s">
        <v>11</v>
      </c>
    </row>
    <row r="31" spans="2:6" x14ac:dyDescent="0.3">
      <c r="B31" s="12" t="s">
        <v>214</v>
      </c>
      <c r="C31" s="12" t="s">
        <v>15</v>
      </c>
      <c r="D31" s="12" t="s">
        <v>215</v>
      </c>
      <c r="E31" s="12" t="s">
        <v>216</v>
      </c>
      <c r="F31" s="12" t="s">
        <v>45</v>
      </c>
    </row>
    <row r="32" spans="2:6" x14ac:dyDescent="0.3">
      <c r="B32" s="12" t="s">
        <v>217</v>
      </c>
      <c r="C32" s="12" t="s">
        <v>218</v>
      </c>
      <c r="D32" s="12" t="s">
        <v>219</v>
      </c>
      <c r="E32" s="12" t="s">
        <v>220</v>
      </c>
      <c r="F32" s="12" t="s">
        <v>11</v>
      </c>
    </row>
    <row r="33" spans="2:6" ht="59.4" x14ac:dyDescent="0.3">
      <c r="B33" s="12" t="s">
        <v>311</v>
      </c>
      <c r="C33" s="12" t="s">
        <v>42</v>
      </c>
      <c r="D33" s="12" t="s">
        <v>223</v>
      </c>
      <c r="E33" s="13" t="s">
        <v>224</v>
      </c>
    </row>
    <row r="34" spans="2:6" x14ac:dyDescent="0.3">
      <c r="B34" s="12" t="s">
        <v>312</v>
      </c>
      <c r="C34" s="12" t="s">
        <v>15</v>
      </c>
      <c r="D34" s="12" t="s">
        <v>225</v>
      </c>
      <c r="E34" s="12" t="s">
        <v>226</v>
      </c>
      <c r="F34" s="12" t="s">
        <v>11</v>
      </c>
    </row>
    <row r="35" spans="2:6" ht="79.2" x14ac:dyDescent="0.3">
      <c r="B35" s="12" t="s">
        <v>228</v>
      </c>
      <c r="C35" s="12" t="s">
        <v>129</v>
      </c>
      <c r="D35" s="12" t="s">
        <v>227</v>
      </c>
      <c r="E35" s="13" t="s">
        <v>229</v>
      </c>
      <c r="F35" s="12" t="s">
        <v>11</v>
      </c>
    </row>
    <row r="36" spans="2:6" x14ac:dyDescent="0.3">
      <c r="B36" s="12" t="s">
        <v>230</v>
      </c>
      <c r="C36" s="12" t="s">
        <v>15</v>
      </c>
      <c r="D36" s="12" t="s">
        <v>231</v>
      </c>
      <c r="E36" s="12" t="s">
        <v>232</v>
      </c>
    </row>
    <row r="37" spans="2:6" x14ac:dyDescent="0.3">
      <c r="B37" s="12" t="s">
        <v>300</v>
      </c>
      <c r="C37" s="12" t="s">
        <v>15</v>
      </c>
      <c r="D37" s="12" t="s">
        <v>301</v>
      </c>
      <c r="E37" s="12" t="s">
        <v>302</v>
      </c>
      <c r="F37" s="12" t="s">
        <v>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80AA-F0A0-44D2-8330-FA1FAA37C5BD}">
  <sheetPr codeName="Sheet14"/>
  <dimension ref="B4:X98"/>
  <sheetViews>
    <sheetView showGridLines="0" zoomScale="55" zoomScaleNormal="5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D8" sqref="D8"/>
    </sheetView>
  </sheetViews>
  <sheetFormatPr defaultRowHeight="19.8" x14ac:dyDescent="0.3"/>
  <cols>
    <col min="1" max="1" width="1.703125" customWidth="1"/>
    <col min="2" max="2" width="28.76171875" bestFit="1" customWidth="1"/>
    <col min="3" max="3" width="2.46875" customWidth="1"/>
    <col min="4" max="4" width="34.17578125" bestFit="1" customWidth="1"/>
    <col min="5" max="6" width="12.703125" bestFit="1" customWidth="1"/>
    <col min="7" max="7" width="18.5859375" bestFit="1" customWidth="1"/>
    <col min="8" max="8" width="19.17578125" bestFit="1" customWidth="1"/>
    <col min="9" max="9" width="8.05859375" bestFit="1" customWidth="1"/>
    <col min="10" max="10" width="8.9375" bestFit="1" customWidth="1"/>
    <col min="11" max="11" width="7.29296875" bestFit="1" customWidth="1"/>
    <col min="12" max="15" width="1.76171875" bestFit="1" customWidth="1"/>
    <col min="16" max="16" width="3.17578125" bestFit="1" customWidth="1"/>
    <col min="17" max="17" width="5.17578125" bestFit="1" customWidth="1"/>
    <col min="18" max="18" width="4.29296875" bestFit="1" customWidth="1"/>
    <col min="19" max="19" width="4.17578125" bestFit="1" customWidth="1"/>
    <col min="20" max="20" width="1.76171875" bestFit="1" customWidth="1"/>
    <col min="21" max="21" width="1.76171875" customWidth="1"/>
    <col min="22" max="22" width="1.76171875" bestFit="1" customWidth="1"/>
    <col min="24" max="24" width="26.3515625" bestFit="1" customWidth="1"/>
    <col min="26" max="26" width="23.17578125" bestFit="1" customWidth="1"/>
  </cols>
  <sheetData>
    <row r="4" spans="2:24" x14ac:dyDescent="0.3">
      <c r="B4" s="18" t="s">
        <v>103</v>
      </c>
      <c r="D4" s="18" t="s">
        <v>104</v>
      </c>
    </row>
    <row r="5" spans="2:24" ht="21" thickBot="1" x14ac:dyDescent="0.4">
      <c r="B5" s="1" t="s">
        <v>74</v>
      </c>
      <c r="C5" s="1"/>
      <c r="D5" s="1" t="s">
        <v>75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2:24" ht="20.399999999999999" thickTop="1" x14ac:dyDescent="0.3">
      <c r="B6">
        <f>COUNTA(_xlfn.ANCHORARRAY(B8))</f>
        <v>83</v>
      </c>
      <c r="C6" s="7"/>
      <c r="D6">
        <f>COUNTA(_xlfn.ANCHORARRAY(D8))</f>
        <v>29</v>
      </c>
    </row>
    <row r="7" spans="2:24" ht="20.399999999999999" thickBot="1" x14ac:dyDescent="0.35">
      <c r="B7" s="6" t="s">
        <v>29</v>
      </c>
      <c r="C7" s="8" t="s">
        <v>31</v>
      </c>
      <c r="D7" s="6" t="s">
        <v>30</v>
      </c>
      <c r="E7" s="6" t="s">
        <v>32</v>
      </c>
      <c r="F7" s="6"/>
      <c r="G7" s="6" t="s">
        <v>77</v>
      </c>
      <c r="H7" s="6" t="s">
        <v>17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 t="s">
        <v>31</v>
      </c>
      <c r="X7" s="6" t="s">
        <v>299</v>
      </c>
    </row>
    <row r="8" spans="2:24" ht="20.399999999999999" thickTop="1" x14ac:dyDescent="0.3">
      <c r="B8" t="str" cm="1">
        <f t="array" ref="B8:B90">TRANSPOSE(ListLambdas())</f>
        <v>_distFrom</v>
      </c>
      <c r="D8" t="str" cm="1">
        <f t="array" ref="D8:D36">Lambdas[Name]</f>
        <v>(Removed) EXTRACTCHAR_byHarryGross</v>
      </c>
      <c r="E8" t="s">
        <v>19</v>
      </c>
      <c r="H8" t="e" cm="1">
        <f t="array" aca="1" ref="H8" ca="1">EXTRACTCHAR_byHarryGross(E8)</f>
        <v>#NAME?</v>
      </c>
      <c r="X8" t="str" cm="1">
        <f t="array" ref="X8:X73">_xlfn._xlws.FILTER(_xlfn.ANCHORARRAY(B8),NOT(isInList(_xlfn.ANCHORARRAY(B8),_xlfn.ANCHORARRAY(D8))))</f>
        <v>_distFrom</v>
      </c>
    </row>
    <row r="9" spans="2:24" x14ac:dyDescent="0.3">
      <c r="B9" t="str">
        <v>A2C</v>
      </c>
      <c r="D9" t="str">
        <v>extractLetters</v>
      </c>
      <c r="E9" t="s">
        <v>19</v>
      </c>
      <c r="X9" t="str">
        <v>A2C</v>
      </c>
    </row>
    <row r="10" spans="2:24" ht="20.399999999999999" x14ac:dyDescent="0.35">
      <c r="B10" t="str">
        <v>A2R</v>
      </c>
      <c r="D10" s="26" t="str">
        <v>extractNumbers</v>
      </c>
      <c r="H10" t="e" cm="1">
        <f t="array" aca="1" ref="H10" ca="1">EXTRACTNUMBERS_byHarryGross(E9)</f>
        <v>#NAME?</v>
      </c>
      <c r="X10" t="str">
        <v>A2R</v>
      </c>
    </row>
    <row r="11" spans="2:24" x14ac:dyDescent="0.3">
      <c r="B11" t="str">
        <v>ADDRESSES_byDiarmuidEarly</v>
      </c>
      <c r="D11" t="str">
        <v>addresses</v>
      </c>
      <c r="E11" t="s">
        <v>39</v>
      </c>
      <c r="F11" t="s">
        <v>40</v>
      </c>
      <c r="H11" t="e" cm="1">
        <f t="array" aca="1" ref="H11" ca="1">ADDRESSES_byDiarmuidEarly(E11:F11)</f>
        <v>#NAME?</v>
      </c>
      <c r="X11" t="str">
        <v>ADDRESSES_byDiarmuidEarly</v>
      </c>
    </row>
    <row r="12" spans="2:24" ht="20.399999999999999" x14ac:dyDescent="0.35">
      <c r="B12" t="str">
        <v>AMATCH</v>
      </c>
      <c r="D12" s="26" t="str">
        <v>gridToCol</v>
      </c>
      <c r="E12" t="s">
        <v>37</v>
      </c>
      <c r="F12" t="s">
        <v>38</v>
      </c>
      <c r="H12" t="str" cm="1">
        <f t="array" aca="1" ref="H12:L14" ca="1">gridToCol(E12:F12,1)</f>
        <v>Items</v>
      </c>
      <c r="I12" t="str">
        <f ca="1"/>
        <v>Row #</v>
      </c>
      <c r="J12" t="str">
        <f ca="1"/>
        <v>Column #</v>
      </c>
      <c r="K12" t="str">
        <f ca="1"/>
        <v>Address</v>
      </c>
      <c r="L12" t="str">
        <f ca="1"/>
        <v>RCRef</v>
      </c>
      <c r="X12" t="str">
        <v>AMATCH</v>
      </c>
    </row>
    <row r="13" spans="2:24" x14ac:dyDescent="0.3">
      <c r="B13" t="str">
        <v>AMATCHADD</v>
      </c>
      <c r="D13" t="str">
        <v>caseInputs</v>
      </c>
      <c r="G13" s="18" t="s">
        <v>76</v>
      </c>
      <c r="H13" t="str">
        <f ca="1"/>
        <v>A</v>
      </c>
      <c r="I13">
        <f ca="1"/>
        <v>12</v>
      </c>
      <c r="J13">
        <f ca="1"/>
        <v>5</v>
      </c>
      <c r="K13" t="str">
        <f ca="1"/>
        <v>E12</v>
      </c>
      <c r="L13">
        <f ca="1"/>
        <v>12001005</v>
      </c>
      <c r="X13" t="str">
        <v>AMATCHADD</v>
      </c>
    </row>
    <row r="14" spans="2:24" x14ac:dyDescent="0.3">
      <c r="B14" t="str">
        <v>APPENDCOLS</v>
      </c>
      <c r="D14" t="str">
        <v>isInList</v>
      </c>
      <c r="E14" t="e" cm="1">
        <f t="array" aca="1" ref="E14" ca="1">matchAddresses(F12,H8:V14)</f>
        <v>#NAME?</v>
      </c>
      <c r="H14" t="str">
        <f ca="1"/>
        <v>B</v>
      </c>
      <c r="I14">
        <f ca="1"/>
        <v>12</v>
      </c>
      <c r="J14">
        <f ca="1"/>
        <v>6</v>
      </c>
      <c r="K14" t="str">
        <f ca="1"/>
        <v>F12</v>
      </c>
      <c r="L14">
        <f ca="1"/>
        <v>12001006</v>
      </c>
      <c r="X14" t="str">
        <v>APPENDCOLS</v>
      </c>
    </row>
    <row r="15" spans="2:24" ht="20.399999999999999" x14ac:dyDescent="0.35">
      <c r="B15" t="str">
        <v>APPENDROWS</v>
      </c>
      <c r="D15" s="26" t="str">
        <v>filterRowsByList</v>
      </c>
      <c r="E15" t="e" cm="1">
        <f t="array" aca="1" ref="E15" ca="1">matchRowCol(12,H8:V14)</f>
        <v>#NAME?</v>
      </c>
      <c r="X15" t="str">
        <v>APPENDROWS</v>
      </c>
    </row>
    <row r="16" spans="2:24" x14ac:dyDescent="0.3">
      <c r="B16" t="str">
        <v>ARROWSHIFT</v>
      </c>
      <c r="D16" t="str">
        <v>letters</v>
      </c>
      <c r="H16" t="b" cm="1">
        <f t="array" ref="H16:H98">isInList(_xlfn.ANCHORARRAY(B8),_xlfn.ANCHORARRAY(D8))</f>
        <v>0</v>
      </c>
      <c r="I16" t="str" cm="1">
        <f t="array" aca="1" ref="I16" ca="1">IFERROR(FilterArray(_xlfn.ANCHORARRAY(B8), 1,_xlfn.ANCHORARRAY( D8)),"None found")</f>
        <v>None found</v>
      </c>
      <c r="X16" t="str">
        <v>ARROWSHIFT</v>
      </c>
    </row>
    <row r="17" spans="2:24" x14ac:dyDescent="0.3">
      <c r="B17" t="str">
        <v>ARROWTABLE</v>
      </c>
      <c r="D17" t="str">
        <v>CountChar_byLiannaGerrish</v>
      </c>
      <c r="H17" t="b">
        <v>0</v>
      </c>
      <c r="X17" t="str">
        <v>ARROWTABLE</v>
      </c>
    </row>
    <row r="18" spans="2:24" x14ac:dyDescent="0.3">
      <c r="B18" t="str">
        <v>BiRow_byPeterBartholomew</v>
      </c>
      <c r="D18" t="str">
        <v>XMOD_byJaqKennedy</v>
      </c>
      <c r="E18">
        <v>1</v>
      </c>
      <c r="G18" s="18" t="s">
        <v>114</v>
      </c>
      <c r="H18" t="b">
        <v>0</v>
      </c>
      <c r="O18" t="e" cm="1" vm="1">
        <f t="array" aca="1" ref="O18" ca="1">letters(E18)</f>
        <v>#VALUE!</v>
      </c>
      <c r="X18" t="str">
        <v>BLOCK</v>
      </c>
    </row>
    <row r="19" spans="2:24" x14ac:dyDescent="0.3">
      <c r="B19" t="str">
        <v>BLOCK</v>
      </c>
      <c r="D19" t="str">
        <v>RightAlignedArray_byJaqKennedy</v>
      </c>
      <c r="H19" t="b">
        <v>0</v>
      </c>
      <c r="I19" cm="1">
        <f t="array" ref="I19">CountChar_byLiannaGerrish(D10,"S")</f>
        <v>0</v>
      </c>
      <c r="X19" t="str">
        <v>CR2A</v>
      </c>
    </row>
    <row r="20" spans="2:24" x14ac:dyDescent="0.3">
      <c r="B20" t="str">
        <v>CaseInputs</v>
      </c>
      <c r="D20" t="str">
        <v>LkpRCByRow</v>
      </c>
      <c r="E20" t="e">
        <f ca="1">CODE(O19)-(CODE(O18)-1)+47</f>
        <v>#VALUE!</v>
      </c>
      <c r="F20">
        <v>26</v>
      </c>
      <c r="H20" t="b">
        <v>0</v>
      </c>
      <c r="I20" t="e" cm="1">
        <f t="array" aca="1" ref="I20" ca="1">XMOD_byJaqKennedy(E20,F20)</f>
        <v>#VALUE!</v>
      </c>
      <c r="J20" t="e">
        <f ca="1">CHAR(I20+CODE(O18)-1)</f>
        <v>#VALUE!</v>
      </c>
      <c r="X20" t="str">
        <v>DATEHEADERS</v>
      </c>
    </row>
    <row r="21" spans="2:24" x14ac:dyDescent="0.3">
      <c r="B21" t="str">
        <v>CellsAround_byBendeLeon</v>
      </c>
      <c r="D21" t="str">
        <v>IFBLANK</v>
      </c>
      <c r="H21" t="b">
        <v>0</v>
      </c>
      <c r="X21" t="str">
        <v>DAYSINPERIOD</v>
      </c>
    </row>
    <row r="22" spans="2:24" x14ac:dyDescent="0.3">
      <c r="B22" t="str">
        <v>COL</v>
      </c>
      <c r="D22" t="str">
        <v>numToDayOfWeek</v>
      </c>
      <c r="E22" t="str" cm="1">
        <f t="array" aca="1" ref="E22:F22" ca="1">LkpRCByRow(O18:O18, $H$8:$V$14)</f>
        <v/>
      </c>
      <c r="F22" t="str">
        <f ca="1"/>
        <v/>
      </c>
      <c r="H22" t="b">
        <v>0</v>
      </c>
      <c r="X22" t="str">
        <v>DICE</v>
      </c>
    </row>
    <row r="23" spans="2:24" x14ac:dyDescent="0.3">
      <c r="B23" t="str">
        <v>COLROW</v>
      </c>
      <c r="D23" t="str">
        <v>XLOOKUP2D_byBendeLeon</v>
      </c>
      <c r="H23" t="b">
        <v>0</v>
      </c>
      <c r="X23" t="str">
        <v>DIJKSTRA</v>
      </c>
    </row>
    <row r="24" spans="2:24" x14ac:dyDescent="0.3">
      <c r="B24" t="str">
        <v>CountChar_byLiannaGerrish</v>
      </c>
      <c r="D24" t="str">
        <v>letterShift</v>
      </c>
      <c r="H24" t="b">
        <v>0</v>
      </c>
      <c r="X24" t="str">
        <v>DistFromCellArr</v>
      </c>
    </row>
    <row r="25" spans="2:24" ht="20.399999999999999" x14ac:dyDescent="0.35">
      <c r="B25" t="str">
        <v>CR2A</v>
      </c>
      <c r="D25" s="26" t="str">
        <v>COLROW</v>
      </c>
      <c r="H25" t="b">
        <v>0</v>
      </c>
      <c r="I25" t="e" cm="1">
        <f t="array" aca="1" ref="I25" ca="1">XLOOKUP2D_byBendeLeon(H8:V14,"E11","a")</f>
        <v>#N/A</v>
      </c>
      <c r="J25" t="e" cm="1">
        <f t="array" aca="1" ref="J25" ca="1">XLOOKUP2D_byBendeLeon(H8:V14,"Items","y")</f>
        <v>#N/A</v>
      </c>
      <c r="X25" t="str">
        <v>DROPCOL</v>
      </c>
    </row>
    <row r="26" spans="2:24" x14ac:dyDescent="0.3">
      <c r="B26" t="str">
        <v>DATEHEADERS</v>
      </c>
      <c r="D26" t="str">
        <v>ROWCOL</v>
      </c>
      <c r="H26" t="b">
        <v>1</v>
      </c>
      <c r="X26" t="str">
        <v>EXTRACTCHAR_byHarryGross</v>
      </c>
    </row>
    <row r="27" spans="2:24" x14ac:dyDescent="0.3">
      <c r="B27" t="str">
        <v>DAYSINPERIOD</v>
      </c>
      <c r="D27" t="str">
        <v>zigZag</v>
      </c>
      <c r="E27" t="e" cm="1">
        <f t="array" aca="1" ref="E27" ca="1">COLROW(E14)</f>
        <v>#NAME?</v>
      </c>
      <c r="H27" t="b">
        <v>0</v>
      </c>
      <c r="X27" t="str">
        <v>EXTRACTLETTERS_byHarryGross</v>
      </c>
    </row>
    <row r="28" spans="2:24" ht="20.399999999999999" x14ac:dyDescent="0.35">
      <c r="B28" t="str">
        <v>DICE</v>
      </c>
      <c r="D28" s="26" t="str">
        <v>BiRow_byPeterBartholomew</v>
      </c>
      <c r="E28" t="e" cm="1">
        <f t="array" aca="1" ref="E28" ca="1">ROWCOL(E14)</f>
        <v>#NAME?</v>
      </c>
      <c r="H28" t="b">
        <v>1</v>
      </c>
      <c r="X28" t="str">
        <v>EXTRACTNUMBERS_byHarryGross</v>
      </c>
    </row>
    <row r="29" spans="2:24" x14ac:dyDescent="0.3">
      <c r="B29" t="str">
        <v>DiffByRow_byJaqKennedy</v>
      </c>
      <c r="D29" t="str">
        <v>DROPCOL_byLiannaGerrish</v>
      </c>
      <c r="H29" t="b">
        <v>1</v>
      </c>
      <c r="X29" t="str">
        <v>EZINDIRECT_byLiannaGerrish</v>
      </c>
    </row>
    <row r="30" spans="2:24" x14ac:dyDescent="0.3">
      <c r="B30" t="str">
        <v>DIJKSTRA</v>
      </c>
      <c r="D30" t="str">
        <v>DiffByRow_byJaqKennedy</v>
      </c>
      <c r="H30" t="b">
        <v>1</v>
      </c>
      <c r="X30" t="str">
        <v>FilterArray_byErikOehm</v>
      </c>
    </row>
    <row r="31" spans="2:24" x14ac:dyDescent="0.3">
      <c r="B31" t="str">
        <v>DistFromCellArr</v>
      </c>
      <c r="D31" t="str">
        <v>TEXTREVERSE</v>
      </c>
      <c r="H31" t="b">
        <v>1</v>
      </c>
      <c r="X31" t="str">
        <v>GETDIST</v>
      </c>
    </row>
    <row r="32" spans="2:24" x14ac:dyDescent="0.3">
      <c r="B32" t="str">
        <v>DROPCOL</v>
      </c>
      <c r="D32" t="str">
        <v>easyIndirect</v>
      </c>
      <c r="H32" t="b">
        <v>1</v>
      </c>
      <c r="X32" t="str">
        <v>GETDIST_weighted</v>
      </c>
    </row>
    <row r="33" spans="2:24" x14ac:dyDescent="0.3">
      <c r="B33" t="str">
        <v>DROPCOL_byLiannaGerrish</v>
      </c>
      <c r="D33" t="str">
        <v>minAndMax</v>
      </c>
      <c r="H33" t="b">
        <v>0</v>
      </c>
      <c r="X33" t="str">
        <v>GRIDTOCOL_ALL</v>
      </c>
    </row>
    <row r="34" spans="2:24" x14ac:dyDescent="0.3">
      <c r="B34" t="str">
        <v>EXTRACTCHAR_byHarryGross</v>
      </c>
      <c r="D34" t="str">
        <v>CellsAround_byBendeLeon</v>
      </c>
      <c r="H34" t="b">
        <v>0</v>
      </c>
      <c r="X34" t="str">
        <v>GRIDTOCOL_byLiannaGerrish</v>
      </c>
    </row>
    <row r="35" spans="2:24" x14ac:dyDescent="0.3">
      <c r="B35" t="str">
        <v>EXTRACTLETTERS_byHarryGross</v>
      </c>
      <c r="D35" t="str">
        <v>COL</v>
      </c>
      <c r="H35" t="b">
        <v>0</v>
      </c>
      <c r="X35" t="str">
        <v>I2M</v>
      </c>
    </row>
    <row r="36" spans="2:24" x14ac:dyDescent="0.3">
      <c r="B36" t="str">
        <v>EXTRACTNUMBERS_byHarryGross</v>
      </c>
      <c r="D36" t="str">
        <v>INTSECT</v>
      </c>
      <c r="H36" t="b">
        <v>0</v>
      </c>
      <c r="X36" t="str">
        <v>IFOMITTED</v>
      </c>
    </row>
    <row r="37" spans="2:24" x14ac:dyDescent="0.3">
      <c r="B37" t="str">
        <v>EZINDIRECT_byLiannaGerrish</v>
      </c>
      <c r="H37" t="b">
        <v>1</v>
      </c>
      <c r="X37" t="str">
        <v>IndMatch</v>
      </c>
    </row>
    <row r="38" spans="2:24" x14ac:dyDescent="0.3">
      <c r="B38" t="str">
        <v>FilterArray_byErikOehm</v>
      </c>
      <c r="H38" t="b">
        <v>0</v>
      </c>
      <c r="X38" t="str">
        <v>IsInList_byErikOehm</v>
      </c>
    </row>
    <row r="39" spans="2:24" x14ac:dyDescent="0.3">
      <c r="B39" t="str">
        <v>GETDIST</v>
      </c>
      <c r="H39" t="b">
        <v>0</v>
      </c>
      <c r="X39" t="str">
        <v>ISINRANGE</v>
      </c>
    </row>
    <row r="40" spans="2:24" x14ac:dyDescent="0.3">
      <c r="B40" t="str">
        <v>GETDIST_weighted</v>
      </c>
      <c r="H40" t="b">
        <v>0</v>
      </c>
      <c r="X40" t="str">
        <v>ISNONZERO</v>
      </c>
    </row>
    <row r="41" spans="2:24" x14ac:dyDescent="0.3">
      <c r="B41" t="str">
        <v>GRIDTOCOL_ALL</v>
      </c>
      <c r="H41" t="b">
        <v>1</v>
      </c>
      <c r="X41" t="str">
        <v>LetterShift_byBendeLeon</v>
      </c>
    </row>
    <row r="42" spans="2:24" x14ac:dyDescent="0.3">
      <c r="B42" t="str">
        <v>GRIDTOCOL_byLiannaGerrish</v>
      </c>
      <c r="H42" t="b">
        <v>0</v>
      </c>
      <c r="X42" t="str">
        <v>LISTOFFSET</v>
      </c>
    </row>
    <row r="43" spans="2:24" x14ac:dyDescent="0.3">
      <c r="B43" t="str">
        <v>I2M</v>
      </c>
      <c r="H43" t="b">
        <v>0</v>
      </c>
      <c r="X43" t="str">
        <v>LkpAdd</v>
      </c>
    </row>
    <row r="44" spans="2:24" x14ac:dyDescent="0.3">
      <c r="B44" t="str">
        <v>IFBLANK</v>
      </c>
      <c r="H44" t="b">
        <v>0</v>
      </c>
      <c r="X44" t="str">
        <v>LkpRC</v>
      </c>
    </row>
    <row r="45" spans="2:24" x14ac:dyDescent="0.3">
      <c r="B45" t="str">
        <v>IFOMITTED</v>
      </c>
      <c r="H45" t="b">
        <v>0</v>
      </c>
      <c r="X45" t="str">
        <v>LkpSum</v>
      </c>
    </row>
    <row r="46" spans="2:24" x14ac:dyDescent="0.3">
      <c r="B46" t="str">
        <v>IndMatch</v>
      </c>
      <c r="H46" t="b">
        <v>0</v>
      </c>
      <c r="X46" t="str">
        <v>MAXLOOKUP</v>
      </c>
    </row>
    <row r="47" spans="2:24" x14ac:dyDescent="0.3">
      <c r="B47" t="str">
        <v>INTSECT</v>
      </c>
      <c r="H47" t="b">
        <v>0</v>
      </c>
      <c r="X47" t="str">
        <v>MEGAREPLACE</v>
      </c>
    </row>
    <row r="48" spans="2:24" x14ac:dyDescent="0.3">
      <c r="B48" t="str">
        <v>IsInList_byErikOehm</v>
      </c>
      <c r="H48" t="b">
        <v>0</v>
      </c>
      <c r="X48" t="str">
        <v>MinMax_byJaqKennedy</v>
      </c>
    </row>
    <row r="49" spans="2:24" x14ac:dyDescent="0.3">
      <c r="B49" t="str">
        <v>ISINRANGE</v>
      </c>
      <c r="H49" t="b">
        <v>0</v>
      </c>
      <c r="X49" t="str">
        <v>MODESUPER</v>
      </c>
    </row>
    <row r="50" spans="2:24" x14ac:dyDescent="0.3">
      <c r="B50" t="str">
        <v>ISNONZERO</v>
      </c>
      <c r="H50" t="b">
        <v>0</v>
      </c>
      <c r="X50" t="str">
        <v>MODTEXT</v>
      </c>
    </row>
    <row r="51" spans="2:24" x14ac:dyDescent="0.3">
      <c r="B51" t="str">
        <v>Letters</v>
      </c>
      <c r="H51" t="b">
        <v>0</v>
      </c>
      <c r="X51" t="str">
        <v>NTHINSTANCE</v>
      </c>
    </row>
    <row r="52" spans="2:24" x14ac:dyDescent="0.3">
      <c r="B52" t="str">
        <v>LetterShift_byBendeLeon</v>
      </c>
      <c r="H52" t="b">
        <v>1</v>
      </c>
      <c r="X52" t="str">
        <v>ONSAMEDIAGONAL</v>
      </c>
    </row>
    <row r="53" spans="2:24" x14ac:dyDescent="0.3">
      <c r="B53" t="str">
        <v>LISTOFFSET</v>
      </c>
      <c r="H53" t="b">
        <v>0</v>
      </c>
      <c r="X53" t="str">
        <v>Permutations</v>
      </c>
    </row>
    <row r="54" spans="2:24" x14ac:dyDescent="0.3">
      <c r="B54" t="str">
        <v>LkpAdd</v>
      </c>
      <c r="H54" t="b">
        <v>0</v>
      </c>
      <c r="X54" t="str">
        <v>PRODUCTIF</v>
      </c>
    </row>
    <row r="55" spans="2:24" x14ac:dyDescent="0.3">
      <c r="B55" t="str">
        <v>LkpRC</v>
      </c>
      <c r="H55" t="b">
        <v>1</v>
      </c>
      <c r="X55" t="str">
        <v>PYTHAG</v>
      </c>
    </row>
    <row r="56" spans="2:24" x14ac:dyDescent="0.3">
      <c r="B56" t="str">
        <v>LkpRCByRow</v>
      </c>
      <c r="H56" t="b">
        <v>0</v>
      </c>
      <c r="X56" t="str">
        <v>PYTHAGDIST</v>
      </c>
    </row>
    <row r="57" spans="2:24" x14ac:dyDescent="0.3">
      <c r="B57" t="str">
        <v>LkpSum</v>
      </c>
      <c r="H57" t="b">
        <v>0</v>
      </c>
      <c r="X57" t="str">
        <v>RATEANNUALTOMONTHLY</v>
      </c>
    </row>
    <row r="58" spans="2:24" x14ac:dyDescent="0.3">
      <c r="B58" t="str">
        <v>MAXLOOKUP</v>
      </c>
      <c r="H58" t="b">
        <v>0</v>
      </c>
      <c r="X58" t="str">
        <v>RATEMONTHLYTOANNUAL</v>
      </c>
    </row>
    <row r="59" spans="2:24" x14ac:dyDescent="0.3">
      <c r="B59" t="str">
        <v>MEGAREPLACE</v>
      </c>
      <c r="H59" t="b">
        <v>1</v>
      </c>
      <c r="X59" t="str">
        <v>REVERSE_H</v>
      </c>
    </row>
    <row r="60" spans="2:24" x14ac:dyDescent="0.3">
      <c r="B60" t="str">
        <v>MinMax_byJaqKennedy</v>
      </c>
      <c r="H60" t="b">
        <v>0</v>
      </c>
      <c r="X60" t="str">
        <v>REVERSE_V</v>
      </c>
    </row>
    <row r="61" spans="2:24" x14ac:dyDescent="0.3">
      <c r="B61" t="str">
        <v>MODESUPER</v>
      </c>
      <c r="H61" t="b">
        <v>0</v>
      </c>
      <c r="X61" t="str">
        <v>ROLL</v>
      </c>
    </row>
    <row r="62" spans="2:24" x14ac:dyDescent="0.3">
      <c r="B62" t="str">
        <v>MODTEXT</v>
      </c>
      <c r="H62" t="b">
        <v>0</v>
      </c>
      <c r="X62" t="str">
        <v>ROLL_SINGLE</v>
      </c>
    </row>
    <row r="63" spans="2:24" x14ac:dyDescent="0.3">
      <c r="B63" t="str">
        <v>NTHINSTANCE</v>
      </c>
      <c r="H63" t="b">
        <v>0</v>
      </c>
      <c r="X63" t="str">
        <v>SET</v>
      </c>
    </row>
    <row r="64" spans="2:24" x14ac:dyDescent="0.3">
      <c r="B64" t="str">
        <v>ONSAMEDIAGONAL</v>
      </c>
      <c r="H64" t="b">
        <v>1</v>
      </c>
      <c r="X64" t="str">
        <v>SHIFT</v>
      </c>
    </row>
    <row r="65" spans="2:24" x14ac:dyDescent="0.3">
      <c r="B65" t="str">
        <v>Permutations</v>
      </c>
      <c r="H65" t="b">
        <v>0</v>
      </c>
      <c r="X65" t="str">
        <v>SHIFT_OOB</v>
      </c>
    </row>
    <row r="66" spans="2:24" x14ac:dyDescent="0.3">
      <c r="B66" t="str">
        <v>PRODUCTIF</v>
      </c>
      <c r="H66" t="b">
        <v>0</v>
      </c>
      <c r="X66" t="str">
        <v>SumDist</v>
      </c>
    </row>
    <row r="67" spans="2:24" x14ac:dyDescent="0.3">
      <c r="B67" t="str">
        <v>PYTHAG</v>
      </c>
      <c r="H67" t="b">
        <v>0</v>
      </c>
      <c r="X67" t="str">
        <v>SumDistFromStart</v>
      </c>
    </row>
    <row r="68" spans="2:24" x14ac:dyDescent="0.3">
      <c r="B68" t="str">
        <v>PYTHAGDIST</v>
      </c>
      <c r="H68" t="b">
        <v>0</v>
      </c>
      <c r="X68" t="str">
        <v>SWAP</v>
      </c>
    </row>
    <row r="69" spans="2:24" x14ac:dyDescent="0.3">
      <c r="B69" t="str">
        <v>RATEANNUALTOMONTHLY</v>
      </c>
      <c r="H69" t="b">
        <v>0</v>
      </c>
      <c r="X69" t="str">
        <v>TDay_byJaqKennedy</v>
      </c>
    </row>
    <row r="70" spans="2:24" x14ac:dyDescent="0.3">
      <c r="B70" t="str">
        <v>RATEMONTHLYTOANNUAL</v>
      </c>
      <c r="H70" t="b">
        <v>0</v>
      </c>
      <c r="X70" t="str">
        <v>TEXTBETWEEN</v>
      </c>
    </row>
    <row r="71" spans="2:24" x14ac:dyDescent="0.3">
      <c r="B71" t="str">
        <v>REVERSE_H</v>
      </c>
      <c r="H71" t="b">
        <v>0</v>
      </c>
      <c r="X71" t="str">
        <v>Thunk</v>
      </c>
    </row>
    <row r="72" spans="2:24" x14ac:dyDescent="0.3">
      <c r="B72" t="str">
        <v>REVERSE_V</v>
      </c>
      <c r="H72" t="b">
        <v>0</v>
      </c>
      <c r="X72" t="str">
        <v>YOUAREHERE</v>
      </c>
    </row>
    <row r="73" spans="2:24" x14ac:dyDescent="0.3">
      <c r="B73" t="str">
        <v>RightAlignedArray_byJaqKennedy</v>
      </c>
      <c r="H73" t="b">
        <v>0</v>
      </c>
      <c r="X73" t="str">
        <v>ZigZag_byBendeLeon</v>
      </c>
    </row>
    <row r="74" spans="2:24" x14ac:dyDescent="0.3">
      <c r="B74" t="str">
        <v>ROLL</v>
      </c>
      <c r="H74" t="b">
        <v>0</v>
      </c>
    </row>
    <row r="75" spans="2:24" x14ac:dyDescent="0.3">
      <c r="B75" t="str">
        <v>ROLL_SINGLE</v>
      </c>
      <c r="H75" t="b">
        <v>0</v>
      </c>
    </row>
    <row r="76" spans="2:24" x14ac:dyDescent="0.3">
      <c r="B76" t="str">
        <v>ROWCOL</v>
      </c>
      <c r="H76" t="b">
        <v>0</v>
      </c>
    </row>
    <row r="77" spans="2:24" x14ac:dyDescent="0.3">
      <c r="B77" t="str">
        <v>SET</v>
      </c>
      <c r="H77" t="b">
        <v>0</v>
      </c>
    </row>
    <row r="78" spans="2:24" x14ac:dyDescent="0.3">
      <c r="B78" t="str">
        <v>SHIFT</v>
      </c>
      <c r="H78" t="b">
        <v>0</v>
      </c>
    </row>
    <row r="79" spans="2:24" x14ac:dyDescent="0.3">
      <c r="B79" t="str">
        <v>SHIFT_OOB</v>
      </c>
      <c r="H79" t="b">
        <v>0</v>
      </c>
    </row>
    <row r="80" spans="2:24" x14ac:dyDescent="0.3">
      <c r="B80" t="str">
        <v>SumDist</v>
      </c>
      <c r="H80" t="b">
        <v>0</v>
      </c>
    </row>
    <row r="81" spans="2:8" x14ac:dyDescent="0.3">
      <c r="B81" t="str">
        <v>SumDistFromStart</v>
      </c>
      <c r="H81" t="b">
        <v>1</v>
      </c>
    </row>
    <row r="82" spans="2:8" x14ac:dyDescent="0.3">
      <c r="B82" t="str">
        <v>SWAP</v>
      </c>
      <c r="H82" t="b">
        <v>0</v>
      </c>
    </row>
    <row r="83" spans="2:8" x14ac:dyDescent="0.3">
      <c r="B83" t="str">
        <v>TDay_byJaqKennedy</v>
      </c>
      <c r="H83" t="b">
        <v>0</v>
      </c>
    </row>
    <row r="84" spans="2:8" x14ac:dyDescent="0.3">
      <c r="B84" t="str">
        <v>TEXTBETWEEN</v>
      </c>
      <c r="H84" t="b">
        <v>1</v>
      </c>
    </row>
    <row r="85" spans="2:8" x14ac:dyDescent="0.3">
      <c r="B85" t="str">
        <v>TEXTREVERSE</v>
      </c>
      <c r="H85" t="b">
        <v>0</v>
      </c>
    </row>
    <row r="86" spans="2:8" x14ac:dyDescent="0.3">
      <c r="B86" t="str">
        <v>Thunk</v>
      </c>
      <c r="H86" t="b">
        <v>0</v>
      </c>
    </row>
    <row r="87" spans="2:8" x14ac:dyDescent="0.3">
      <c r="B87" t="str">
        <v>XLOOKUP2D_byBendeLeon</v>
      </c>
      <c r="H87" t="b">
        <v>0</v>
      </c>
    </row>
    <row r="88" spans="2:8" x14ac:dyDescent="0.3">
      <c r="B88" t="str">
        <v>XMOD_byJaqKennedy</v>
      </c>
      <c r="H88" t="b">
        <v>0</v>
      </c>
    </row>
    <row r="89" spans="2:8" x14ac:dyDescent="0.3">
      <c r="B89" t="str">
        <v>YOUAREHERE</v>
      </c>
      <c r="H89" t="b">
        <v>0</v>
      </c>
    </row>
    <row r="90" spans="2:8" x14ac:dyDescent="0.3">
      <c r="B90" t="str">
        <v>ZigZag_byBendeLeon</v>
      </c>
      <c r="H90" t="b">
        <v>0</v>
      </c>
    </row>
    <row r="91" spans="2:8" x14ac:dyDescent="0.3">
      <c r="H91" t="b">
        <v>0</v>
      </c>
    </row>
    <row r="92" spans="2:8" x14ac:dyDescent="0.3">
      <c r="H92" t="b">
        <v>0</v>
      </c>
    </row>
    <row r="93" spans="2:8" x14ac:dyDescent="0.3">
      <c r="H93" t="b">
        <v>1</v>
      </c>
    </row>
    <row r="94" spans="2:8" x14ac:dyDescent="0.3">
      <c r="H94" t="b">
        <v>0</v>
      </c>
    </row>
    <row r="95" spans="2:8" x14ac:dyDescent="0.3">
      <c r="H95" t="b">
        <v>1</v>
      </c>
    </row>
    <row r="96" spans="2:8" x14ac:dyDescent="0.3">
      <c r="H96" t="b">
        <v>1</v>
      </c>
    </row>
    <row r="97" spans="8:8" x14ac:dyDescent="0.3">
      <c r="H97" t="b">
        <v>0</v>
      </c>
    </row>
    <row r="98" spans="8:8" x14ac:dyDescent="0.3">
      <c r="H98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7DF97-5C72-4E67-A3A9-E79227034A6D}">
  <sheetPr codeName="Sheet15"/>
  <dimension ref="B5:J14"/>
  <sheetViews>
    <sheetView showGridLines="0" workbookViewId="0">
      <pane ySplit="5" topLeftCell="A6" activePane="bottomLeft" state="frozenSplit"/>
      <selection pane="bottomLeft" activeCell="A6" sqref="A6"/>
    </sheetView>
  </sheetViews>
  <sheetFormatPr defaultRowHeight="19.8" x14ac:dyDescent="0.3"/>
  <cols>
    <col min="1" max="1" width="1.703125" customWidth="1"/>
    <col min="2" max="2" width="24.46875" bestFit="1" customWidth="1"/>
    <col min="3" max="3" width="11.234375" bestFit="1" customWidth="1"/>
    <col min="4" max="4" width="36" customWidth="1"/>
    <col min="5" max="5" width="12.46875" bestFit="1" customWidth="1"/>
    <col min="6" max="10" width="4.234375" customWidth="1"/>
  </cols>
  <sheetData>
    <row r="5" spans="2:10" ht="21" thickBot="1" x14ac:dyDescent="0.4">
      <c r="B5" s="1" t="s">
        <v>18</v>
      </c>
      <c r="C5" s="1"/>
      <c r="D5" s="1"/>
      <c r="E5" s="1"/>
      <c r="F5" s="1"/>
      <c r="G5" s="1"/>
      <c r="H5" s="1"/>
      <c r="I5" s="1"/>
      <c r="J5" s="1"/>
    </row>
    <row r="6" spans="2:10" ht="20.399999999999999" thickTop="1" x14ac:dyDescent="0.3">
      <c r="B6" s="2" t="s">
        <v>28</v>
      </c>
      <c r="C6" s="2"/>
      <c r="D6" s="2"/>
      <c r="E6" s="2"/>
      <c r="F6" s="2"/>
      <c r="G6" s="2"/>
      <c r="H6" s="2"/>
      <c r="I6" s="2"/>
      <c r="J6" s="2"/>
    </row>
    <row r="7" spans="2:10" x14ac:dyDescent="0.3">
      <c r="B7" s="4"/>
    </row>
    <row r="8" spans="2:10" x14ac:dyDescent="0.3">
      <c r="B8" s="4"/>
    </row>
    <row r="9" spans="2:10" x14ac:dyDescent="0.3">
      <c r="B9" s="4"/>
    </row>
    <row r="10" spans="2:10" x14ac:dyDescent="0.3">
      <c r="B10" s="4"/>
    </row>
    <row r="11" spans="2:10" ht="20.399999999999999" thickBot="1" x14ac:dyDescent="0.35">
      <c r="B11" s="3" t="s">
        <v>2</v>
      </c>
      <c r="C11" s="3"/>
      <c r="D11" s="3"/>
      <c r="E11" s="3"/>
      <c r="F11" s="3"/>
      <c r="G11" s="3"/>
      <c r="H11" s="3"/>
      <c r="I11" s="3"/>
      <c r="J11" s="3"/>
    </row>
    <row r="12" spans="2:10" ht="20.399999999999999" thickTop="1" x14ac:dyDescent="0.3"/>
    <row r="13" spans="2:10" x14ac:dyDescent="0.3">
      <c r="B13" t="s">
        <v>4</v>
      </c>
      <c r="C13" t="s">
        <v>6</v>
      </c>
      <c r="D13" t="s">
        <v>5</v>
      </c>
      <c r="E13" t="s">
        <v>9</v>
      </c>
    </row>
    <row r="14" spans="2:10" ht="39.6" x14ac:dyDescent="0.3">
      <c r="B14" t="s">
        <v>20</v>
      </c>
      <c r="C14" t="s">
        <v>15</v>
      </c>
      <c r="D14" s="5" t="s">
        <v>21</v>
      </c>
      <c r="E14" t="s">
        <v>22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6B522-6C81-46AC-ABBE-73F2754A70DB}">
  <sheetPr codeName="Sheet4"/>
  <dimension ref="B2:G61"/>
  <sheetViews>
    <sheetView showGridLines="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8.76171875" defaultRowHeight="18" x14ac:dyDescent="0.35"/>
  <cols>
    <col min="1" max="1" width="8.76171875" style="21"/>
    <col min="2" max="2" width="4.76171875" style="21" bestFit="1" customWidth="1"/>
    <col min="3" max="3" width="4.8203125" style="21" bestFit="1" customWidth="1"/>
    <col min="4" max="4" width="6.46875" style="21" bestFit="1" customWidth="1"/>
    <col min="5" max="5" width="22.52734375" style="21" bestFit="1" customWidth="1"/>
    <col min="6" max="6" width="20.29296875" style="21" bestFit="1" customWidth="1"/>
    <col min="7" max="7" width="8.76171875" style="21" bestFit="1" customWidth="1"/>
    <col min="8" max="16384" width="8.76171875" style="21"/>
  </cols>
  <sheetData>
    <row r="2" spans="2:7" x14ac:dyDescent="0.35">
      <c r="B2" s="21" t="s">
        <v>167</v>
      </c>
      <c r="C2" s="23" t="s">
        <v>200</v>
      </c>
      <c r="D2" s="21" t="s">
        <v>166</v>
      </c>
      <c r="E2" s="21" t="s">
        <v>4</v>
      </c>
      <c r="F2" s="21" t="s">
        <v>77</v>
      </c>
      <c r="G2" s="21" t="s">
        <v>165</v>
      </c>
    </row>
    <row r="3" spans="2:7" ht="54" x14ac:dyDescent="0.35">
      <c r="B3" s="21" t="s">
        <v>189</v>
      </c>
      <c r="C3" s="21">
        <v>5</v>
      </c>
      <c r="D3" s="21" t="s">
        <v>180</v>
      </c>
      <c r="E3" s="23" t="s">
        <v>190</v>
      </c>
      <c r="F3" s="24" t="s">
        <v>191</v>
      </c>
      <c r="G3" s="23" t="s">
        <v>0</v>
      </c>
    </row>
    <row r="4" spans="2:7" ht="54" x14ac:dyDescent="0.35">
      <c r="B4" s="21" t="s">
        <v>189</v>
      </c>
      <c r="C4" s="21">
        <v>5</v>
      </c>
      <c r="D4" s="21" t="s">
        <v>180</v>
      </c>
      <c r="E4" s="23" t="s">
        <v>190</v>
      </c>
      <c r="F4" s="24" t="s">
        <v>192</v>
      </c>
      <c r="G4" s="23" t="s">
        <v>0</v>
      </c>
    </row>
    <row r="5" spans="2:7" ht="36" x14ac:dyDescent="0.35">
      <c r="B5" s="21" t="s">
        <v>189</v>
      </c>
      <c r="C5" s="21">
        <v>5</v>
      </c>
      <c r="D5" s="21" t="s">
        <v>135</v>
      </c>
      <c r="E5" s="21" t="s">
        <v>193</v>
      </c>
      <c r="F5" s="24" t="s">
        <v>195</v>
      </c>
      <c r="G5" s="23" t="s">
        <v>194</v>
      </c>
    </row>
    <row r="6" spans="2:7" x14ac:dyDescent="0.35">
      <c r="B6" s="21" t="s">
        <v>189</v>
      </c>
      <c r="C6" s="21">
        <v>5</v>
      </c>
      <c r="D6" s="21" t="s">
        <v>135</v>
      </c>
      <c r="E6" s="21" t="s">
        <v>134</v>
      </c>
      <c r="F6" s="21" t="s">
        <v>133</v>
      </c>
      <c r="G6" s="21" t="s">
        <v>132</v>
      </c>
    </row>
    <row r="7" spans="2:7" ht="54" x14ac:dyDescent="0.35">
      <c r="B7" s="21" t="s">
        <v>189</v>
      </c>
      <c r="C7" s="21">
        <v>6</v>
      </c>
      <c r="D7" s="21" t="s">
        <v>180</v>
      </c>
      <c r="E7" s="23" t="s">
        <v>105</v>
      </c>
      <c r="F7" s="24" t="s">
        <v>196</v>
      </c>
      <c r="G7" s="23" t="s">
        <v>0</v>
      </c>
    </row>
    <row r="8" spans="2:7" x14ac:dyDescent="0.35">
      <c r="B8" s="21" t="s">
        <v>189</v>
      </c>
      <c r="C8" s="21">
        <v>6</v>
      </c>
      <c r="D8" s="21" t="s">
        <v>135</v>
      </c>
      <c r="E8" s="21" t="s">
        <v>156</v>
      </c>
      <c r="F8" s="21" t="s">
        <v>155</v>
      </c>
      <c r="G8" s="21" t="s">
        <v>0</v>
      </c>
    </row>
    <row r="9" spans="2:7" x14ac:dyDescent="0.35">
      <c r="B9" s="21" t="s">
        <v>189</v>
      </c>
      <c r="C9" s="21">
        <v>6</v>
      </c>
      <c r="D9" s="21" t="s">
        <v>135</v>
      </c>
      <c r="E9" s="21" t="s">
        <v>154</v>
      </c>
      <c r="F9" s="21" t="s">
        <v>153</v>
      </c>
      <c r="G9" s="21" t="s">
        <v>139</v>
      </c>
    </row>
    <row r="10" spans="2:7" ht="36" x14ac:dyDescent="0.35">
      <c r="B10" s="21" t="s">
        <v>189</v>
      </c>
      <c r="C10" s="21">
        <v>6</v>
      </c>
      <c r="D10" s="21" t="s">
        <v>135</v>
      </c>
      <c r="E10" s="21" t="s">
        <v>193</v>
      </c>
      <c r="F10" s="24" t="s">
        <v>195</v>
      </c>
      <c r="G10" s="23" t="s">
        <v>194</v>
      </c>
    </row>
    <row r="11" spans="2:7" x14ac:dyDescent="0.35">
      <c r="B11" s="21" t="s">
        <v>189</v>
      </c>
      <c r="C11" s="21">
        <v>6</v>
      </c>
      <c r="D11" s="21" t="s">
        <v>135</v>
      </c>
      <c r="E11" s="23" t="s">
        <v>197</v>
      </c>
      <c r="F11" s="23" t="s">
        <v>100</v>
      </c>
      <c r="G11" s="23" t="s">
        <v>139</v>
      </c>
    </row>
    <row r="12" spans="2:7" x14ac:dyDescent="0.35">
      <c r="B12" s="21" t="s">
        <v>189</v>
      </c>
      <c r="C12" s="21">
        <v>6</v>
      </c>
      <c r="D12" s="21" t="s">
        <v>135</v>
      </c>
      <c r="E12" s="23" t="s">
        <v>199</v>
      </c>
      <c r="F12" s="23" t="s">
        <v>198</v>
      </c>
      <c r="G12" s="23" t="s">
        <v>139</v>
      </c>
    </row>
    <row r="13" spans="2:7" x14ac:dyDescent="0.35">
      <c r="B13" s="21" t="s">
        <v>189</v>
      </c>
      <c r="C13" s="21">
        <v>6</v>
      </c>
      <c r="D13" s="21" t="s">
        <v>135</v>
      </c>
      <c r="E13" s="21" t="s">
        <v>134</v>
      </c>
      <c r="F13" s="21" t="s">
        <v>133</v>
      </c>
      <c r="G13" s="21" t="s">
        <v>132</v>
      </c>
    </row>
    <row r="14" spans="2:7" x14ac:dyDescent="0.35">
      <c r="B14" s="21" t="s">
        <v>168</v>
      </c>
      <c r="C14" s="21">
        <v>7</v>
      </c>
      <c r="D14" s="21" t="s">
        <v>135</v>
      </c>
      <c r="E14" s="21" t="s">
        <v>164</v>
      </c>
      <c r="F14" s="21" t="s">
        <v>163</v>
      </c>
      <c r="G14" s="21" t="s">
        <v>0</v>
      </c>
    </row>
    <row r="15" spans="2:7" x14ac:dyDescent="0.35">
      <c r="B15" s="21" t="s">
        <v>168</v>
      </c>
      <c r="C15" s="21">
        <v>7</v>
      </c>
      <c r="D15" s="21" t="s">
        <v>135</v>
      </c>
      <c r="E15" s="21" t="s">
        <v>162</v>
      </c>
      <c r="F15" s="21" t="s">
        <v>161</v>
      </c>
      <c r="G15" s="21" t="s">
        <v>0</v>
      </c>
    </row>
    <row r="16" spans="2:7" x14ac:dyDescent="0.35">
      <c r="B16" s="21" t="s">
        <v>168</v>
      </c>
      <c r="C16" s="21">
        <v>7</v>
      </c>
      <c r="D16" s="21" t="s">
        <v>135</v>
      </c>
      <c r="E16" s="21" t="s">
        <v>169</v>
      </c>
      <c r="F16" s="21" t="s">
        <v>85</v>
      </c>
      <c r="G16" s="21" t="s">
        <v>139</v>
      </c>
    </row>
    <row r="17" spans="2:7" x14ac:dyDescent="0.35">
      <c r="B17" s="21" t="s">
        <v>168</v>
      </c>
      <c r="C17" s="21">
        <v>7</v>
      </c>
      <c r="D17" s="21" t="s">
        <v>135</v>
      </c>
      <c r="E17" s="21" t="s">
        <v>170</v>
      </c>
      <c r="F17" s="21" t="s">
        <v>171</v>
      </c>
      <c r="G17" s="21" t="s">
        <v>0</v>
      </c>
    </row>
    <row r="18" spans="2:7" x14ac:dyDescent="0.35">
      <c r="B18" s="21" t="s">
        <v>168</v>
      </c>
      <c r="C18" s="21">
        <v>7</v>
      </c>
      <c r="D18" s="21" t="s">
        <v>135</v>
      </c>
      <c r="E18" s="21" t="s">
        <v>172</v>
      </c>
      <c r="F18" s="21" t="s">
        <v>173</v>
      </c>
      <c r="G18" s="21" t="s">
        <v>139</v>
      </c>
    </row>
    <row r="19" spans="2:7" ht="36" x14ac:dyDescent="0.35">
      <c r="B19" s="21" t="s">
        <v>168</v>
      </c>
      <c r="C19" s="21">
        <v>7</v>
      </c>
      <c r="D19" s="21" t="s">
        <v>135</v>
      </c>
      <c r="E19" s="21" t="s">
        <v>174</v>
      </c>
      <c r="F19" s="22" t="s">
        <v>175</v>
      </c>
      <c r="G19" s="21" t="s">
        <v>0</v>
      </c>
    </row>
    <row r="20" spans="2:7" x14ac:dyDescent="0.35">
      <c r="B20" s="21" t="s">
        <v>168</v>
      </c>
      <c r="C20" s="21">
        <v>7</v>
      </c>
      <c r="D20" s="21" t="s">
        <v>135</v>
      </c>
      <c r="E20" s="21" t="s">
        <v>154</v>
      </c>
      <c r="F20" s="21" t="s">
        <v>153</v>
      </c>
      <c r="G20" s="21" t="s">
        <v>139</v>
      </c>
    </row>
    <row r="21" spans="2:7" ht="36" x14ac:dyDescent="0.35">
      <c r="B21" s="21" t="s">
        <v>168</v>
      </c>
      <c r="C21" s="21">
        <v>7</v>
      </c>
      <c r="D21" s="21" t="s">
        <v>135</v>
      </c>
      <c r="E21" s="21" t="s">
        <v>176</v>
      </c>
      <c r="F21" s="22" t="s">
        <v>177</v>
      </c>
      <c r="G21" s="21" t="s">
        <v>0</v>
      </c>
    </row>
    <row r="22" spans="2:7" x14ac:dyDescent="0.35">
      <c r="B22" s="21" t="s">
        <v>168</v>
      </c>
      <c r="C22" s="21">
        <v>7</v>
      </c>
      <c r="D22" s="21" t="s">
        <v>135</v>
      </c>
      <c r="E22" s="21" t="s">
        <v>178</v>
      </c>
      <c r="F22" s="21" t="s">
        <v>179</v>
      </c>
      <c r="G22" s="21" t="s">
        <v>0</v>
      </c>
    </row>
    <row r="23" spans="2:7" ht="36" x14ac:dyDescent="0.35">
      <c r="B23" s="21" t="s">
        <v>168</v>
      </c>
      <c r="C23" s="21">
        <v>7</v>
      </c>
      <c r="D23" s="21" t="s">
        <v>180</v>
      </c>
      <c r="E23" s="21" t="s">
        <v>186</v>
      </c>
      <c r="F23" s="22" t="s">
        <v>182</v>
      </c>
      <c r="G23" s="21" t="s">
        <v>0</v>
      </c>
    </row>
    <row r="24" spans="2:7" x14ac:dyDescent="0.35">
      <c r="B24" s="21" t="s">
        <v>168</v>
      </c>
      <c r="C24" s="21">
        <v>7</v>
      </c>
      <c r="D24" s="21" t="s">
        <v>135</v>
      </c>
      <c r="E24" s="21" t="s">
        <v>169</v>
      </c>
      <c r="F24" s="21" t="s">
        <v>85</v>
      </c>
      <c r="G24" s="21" t="s">
        <v>139</v>
      </c>
    </row>
    <row r="25" spans="2:7" x14ac:dyDescent="0.35">
      <c r="B25" s="21" t="s">
        <v>168</v>
      </c>
      <c r="C25" s="21">
        <v>7</v>
      </c>
      <c r="D25" s="21" t="s">
        <v>135</v>
      </c>
      <c r="E25" s="21" t="s">
        <v>154</v>
      </c>
      <c r="F25" s="21" t="s">
        <v>153</v>
      </c>
      <c r="G25" s="21" t="s">
        <v>139</v>
      </c>
    </row>
    <row r="26" spans="2:7" x14ac:dyDescent="0.35">
      <c r="B26" s="21" t="s">
        <v>168</v>
      </c>
      <c r="C26" s="21">
        <v>7</v>
      </c>
      <c r="D26" s="21" t="s">
        <v>135</v>
      </c>
      <c r="E26" s="21" t="s">
        <v>170</v>
      </c>
      <c r="F26" s="21" t="s">
        <v>171</v>
      </c>
      <c r="G26" s="21" t="s">
        <v>0</v>
      </c>
    </row>
    <row r="27" spans="2:7" x14ac:dyDescent="0.35">
      <c r="B27" s="21" t="s">
        <v>168</v>
      </c>
      <c r="C27" s="21">
        <v>7</v>
      </c>
      <c r="D27" s="21" t="s">
        <v>135</v>
      </c>
      <c r="E27" s="21" t="s">
        <v>141</v>
      </c>
      <c r="F27" s="21" t="s">
        <v>140</v>
      </c>
      <c r="G27" s="21" t="s">
        <v>139</v>
      </c>
    </row>
    <row r="28" spans="2:7" x14ac:dyDescent="0.35">
      <c r="B28" s="21" t="s">
        <v>168</v>
      </c>
      <c r="C28" s="21">
        <v>7</v>
      </c>
      <c r="D28" s="21" t="s">
        <v>135</v>
      </c>
      <c r="E28" s="21" t="s">
        <v>169</v>
      </c>
      <c r="F28" s="21" t="s">
        <v>85</v>
      </c>
      <c r="G28" s="21" t="s">
        <v>139</v>
      </c>
    </row>
    <row r="29" spans="2:7" x14ac:dyDescent="0.35">
      <c r="B29" s="21" t="s">
        <v>168</v>
      </c>
      <c r="C29" s="21">
        <v>7</v>
      </c>
      <c r="D29" s="21" t="s">
        <v>135</v>
      </c>
      <c r="E29" s="21" t="s">
        <v>154</v>
      </c>
      <c r="F29" s="21" t="s">
        <v>153</v>
      </c>
      <c r="G29" s="21" t="s">
        <v>139</v>
      </c>
    </row>
    <row r="30" spans="2:7" x14ac:dyDescent="0.35">
      <c r="B30" s="21" t="s">
        <v>168</v>
      </c>
      <c r="C30" s="21">
        <v>7</v>
      </c>
      <c r="D30" s="21" t="s">
        <v>135</v>
      </c>
      <c r="E30" s="21" t="s">
        <v>170</v>
      </c>
      <c r="F30" s="21" t="s">
        <v>171</v>
      </c>
      <c r="G30" s="21" t="s">
        <v>0</v>
      </c>
    </row>
    <row r="31" spans="2:7" ht="72" x14ac:dyDescent="0.35">
      <c r="B31" s="21" t="s">
        <v>168</v>
      </c>
      <c r="C31" s="21">
        <v>7</v>
      </c>
      <c r="D31" s="21" t="s">
        <v>180</v>
      </c>
      <c r="E31" s="21" t="s">
        <v>185</v>
      </c>
      <c r="F31" s="22" t="s">
        <v>181</v>
      </c>
      <c r="G31" s="21" t="s">
        <v>0</v>
      </c>
    </row>
    <row r="32" spans="2:7" x14ac:dyDescent="0.35">
      <c r="B32" s="21" t="s">
        <v>168</v>
      </c>
      <c r="C32" s="21">
        <v>7</v>
      </c>
      <c r="D32" s="21" t="s">
        <v>135</v>
      </c>
      <c r="E32" s="21" t="s">
        <v>154</v>
      </c>
      <c r="F32" s="21" t="s">
        <v>153</v>
      </c>
      <c r="G32" s="21" t="s">
        <v>139</v>
      </c>
    </row>
    <row r="33" spans="2:7" x14ac:dyDescent="0.35">
      <c r="B33" s="21" t="s">
        <v>168</v>
      </c>
      <c r="C33" s="21">
        <v>7</v>
      </c>
      <c r="D33" s="21" t="s">
        <v>135</v>
      </c>
      <c r="E33" s="21" t="s">
        <v>141</v>
      </c>
      <c r="F33" s="21" t="s">
        <v>140</v>
      </c>
      <c r="G33" s="21" t="s">
        <v>139</v>
      </c>
    </row>
    <row r="34" spans="2:7" x14ac:dyDescent="0.35">
      <c r="B34" s="21" t="s">
        <v>168</v>
      </c>
      <c r="C34" s="21">
        <v>7</v>
      </c>
      <c r="D34" s="21" t="s">
        <v>135</v>
      </c>
      <c r="E34" s="21" t="s">
        <v>169</v>
      </c>
      <c r="F34" s="21" t="s">
        <v>85</v>
      </c>
      <c r="G34" s="21" t="s">
        <v>139</v>
      </c>
    </row>
    <row r="35" spans="2:7" x14ac:dyDescent="0.35">
      <c r="B35" s="21" t="s">
        <v>168</v>
      </c>
      <c r="C35" s="21">
        <v>7</v>
      </c>
      <c r="D35" s="21" t="s">
        <v>135</v>
      </c>
      <c r="E35" s="21" t="s">
        <v>170</v>
      </c>
      <c r="F35" s="21" t="s">
        <v>171</v>
      </c>
      <c r="G35" s="21" t="s">
        <v>0</v>
      </c>
    </row>
    <row r="36" spans="2:7" x14ac:dyDescent="0.35">
      <c r="B36" s="21" t="s">
        <v>168</v>
      </c>
      <c r="C36" s="21">
        <v>7</v>
      </c>
      <c r="D36" s="21" t="s">
        <v>135</v>
      </c>
      <c r="E36" s="21" t="s">
        <v>183</v>
      </c>
      <c r="F36" s="21" t="s">
        <v>184</v>
      </c>
      <c r="G36" s="21" t="s">
        <v>0</v>
      </c>
    </row>
    <row r="37" spans="2:7" x14ac:dyDescent="0.35">
      <c r="B37" s="21" t="s">
        <v>168</v>
      </c>
      <c r="C37" s="21">
        <v>7</v>
      </c>
      <c r="D37" s="21" t="s">
        <v>135</v>
      </c>
      <c r="E37" s="21" t="s">
        <v>148</v>
      </c>
      <c r="F37" s="21" t="s">
        <v>147</v>
      </c>
      <c r="G37" s="21" t="s">
        <v>139</v>
      </c>
    </row>
    <row r="38" spans="2:7" x14ac:dyDescent="0.35">
      <c r="B38" s="21" t="s">
        <v>168</v>
      </c>
      <c r="C38" s="21">
        <v>7</v>
      </c>
      <c r="D38" s="21" t="s">
        <v>135</v>
      </c>
      <c r="E38" s="21" t="s">
        <v>187</v>
      </c>
      <c r="F38" s="21" t="s">
        <v>188</v>
      </c>
      <c r="G38" s="21" t="s">
        <v>139</v>
      </c>
    </row>
    <row r="39" spans="2:7" x14ac:dyDescent="0.35">
      <c r="B39" s="21" t="s">
        <v>168</v>
      </c>
      <c r="C39" s="21">
        <v>7</v>
      </c>
      <c r="D39" s="21" t="s">
        <v>135</v>
      </c>
      <c r="E39" s="21" t="s">
        <v>134</v>
      </c>
      <c r="F39" s="21" t="s">
        <v>133</v>
      </c>
      <c r="G39" s="21" t="s">
        <v>132</v>
      </c>
    </row>
    <row r="40" spans="2:7" x14ac:dyDescent="0.35">
      <c r="B40" s="21" t="s">
        <v>136</v>
      </c>
      <c r="C40" s="21">
        <v>4</v>
      </c>
      <c r="D40" s="21" t="s">
        <v>135</v>
      </c>
      <c r="E40" s="21" t="s">
        <v>164</v>
      </c>
      <c r="F40" s="21" t="s">
        <v>163</v>
      </c>
      <c r="G40" s="21" t="s">
        <v>0</v>
      </c>
    </row>
    <row r="41" spans="2:7" x14ac:dyDescent="0.35">
      <c r="B41" s="25" t="s">
        <v>136</v>
      </c>
      <c r="C41" s="21">
        <v>4</v>
      </c>
      <c r="D41" s="21" t="s">
        <v>135</v>
      </c>
      <c r="E41" s="25" t="s">
        <v>291</v>
      </c>
      <c r="F41" s="25" t="s">
        <v>292</v>
      </c>
      <c r="G41" s="25" t="s">
        <v>0</v>
      </c>
    </row>
    <row r="42" spans="2:7" x14ac:dyDescent="0.35">
      <c r="B42" s="25" t="s">
        <v>136</v>
      </c>
      <c r="C42" s="21">
        <v>4</v>
      </c>
      <c r="D42" s="21" t="s">
        <v>135</v>
      </c>
      <c r="E42" s="21" t="s">
        <v>295</v>
      </c>
      <c r="F42" s="25" t="s">
        <v>298</v>
      </c>
      <c r="G42" s="25" t="s">
        <v>0</v>
      </c>
    </row>
    <row r="43" spans="2:7" x14ac:dyDescent="0.35">
      <c r="B43" s="25" t="s">
        <v>136</v>
      </c>
      <c r="C43" s="21">
        <v>5</v>
      </c>
      <c r="D43" s="21" t="s">
        <v>135</v>
      </c>
      <c r="E43" s="21" t="s">
        <v>162</v>
      </c>
      <c r="F43" s="21" t="s">
        <v>161</v>
      </c>
      <c r="G43" s="21" t="s">
        <v>0</v>
      </c>
    </row>
    <row r="44" spans="2:7" x14ac:dyDescent="0.35">
      <c r="B44" s="21" t="s">
        <v>136</v>
      </c>
      <c r="C44" s="21">
        <v>5</v>
      </c>
      <c r="D44" s="21" t="s">
        <v>135</v>
      </c>
      <c r="E44" s="21" t="s">
        <v>154</v>
      </c>
      <c r="F44" s="21" t="s">
        <v>153</v>
      </c>
      <c r="G44" s="21" t="s">
        <v>139</v>
      </c>
    </row>
    <row r="45" spans="2:7" x14ac:dyDescent="0.35">
      <c r="B45" s="21" t="s">
        <v>136</v>
      </c>
      <c r="C45" s="21">
        <v>5</v>
      </c>
      <c r="D45" s="21" t="s">
        <v>135</v>
      </c>
      <c r="E45" s="21" t="s">
        <v>160</v>
      </c>
      <c r="F45" s="21" t="s">
        <v>159</v>
      </c>
      <c r="G45" s="21" t="s">
        <v>139</v>
      </c>
    </row>
    <row r="46" spans="2:7" x14ac:dyDescent="0.35">
      <c r="B46" s="21" t="s">
        <v>136</v>
      </c>
      <c r="C46" s="21">
        <v>5</v>
      </c>
      <c r="D46" s="21" t="s">
        <v>135</v>
      </c>
      <c r="E46" s="21" t="s">
        <v>143</v>
      </c>
      <c r="F46" s="21" t="s">
        <v>142</v>
      </c>
      <c r="G46" s="21" t="s">
        <v>0</v>
      </c>
    </row>
    <row r="47" spans="2:7" x14ac:dyDescent="0.35">
      <c r="B47" s="21" t="s">
        <v>136</v>
      </c>
      <c r="C47" s="21">
        <v>5</v>
      </c>
      <c r="D47" s="21" t="s">
        <v>135</v>
      </c>
      <c r="E47" s="21" t="s">
        <v>158</v>
      </c>
      <c r="F47" s="21" t="s">
        <v>157</v>
      </c>
      <c r="G47" s="21" t="s">
        <v>0</v>
      </c>
    </row>
    <row r="48" spans="2:7" x14ac:dyDescent="0.35">
      <c r="B48" s="21" t="s">
        <v>136</v>
      </c>
      <c r="C48" s="21">
        <v>5</v>
      </c>
      <c r="D48" s="21" t="s">
        <v>135</v>
      </c>
      <c r="E48" s="21" t="s">
        <v>156</v>
      </c>
      <c r="F48" s="21" t="s">
        <v>155</v>
      </c>
      <c r="G48" s="21" t="s">
        <v>0</v>
      </c>
    </row>
    <row r="49" spans="2:7" x14ac:dyDescent="0.35">
      <c r="B49" s="21" t="s">
        <v>136</v>
      </c>
      <c r="C49" s="21">
        <v>5</v>
      </c>
      <c r="D49" s="21" t="s">
        <v>135</v>
      </c>
      <c r="E49" s="21" t="s">
        <v>141</v>
      </c>
      <c r="F49" s="21" t="s">
        <v>140</v>
      </c>
      <c r="G49" s="21" t="s">
        <v>139</v>
      </c>
    </row>
    <row r="50" spans="2:7" x14ac:dyDescent="0.35">
      <c r="B50" s="21" t="s">
        <v>136</v>
      </c>
      <c r="C50" s="21">
        <v>5</v>
      </c>
      <c r="D50" s="21" t="s">
        <v>135</v>
      </c>
      <c r="E50" s="21" t="s">
        <v>154</v>
      </c>
      <c r="F50" s="21" t="s">
        <v>153</v>
      </c>
      <c r="G50" s="21" t="s">
        <v>139</v>
      </c>
    </row>
    <row r="51" spans="2:7" x14ac:dyDescent="0.35">
      <c r="B51" s="21" t="s">
        <v>136</v>
      </c>
      <c r="C51" s="21">
        <v>5</v>
      </c>
      <c r="D51" s="21" t="s">
        <v>135</v>
      </c>
      <c r="E51" s="21" t="s">
        <v>141</v>
      </c>
      <c r="F51" s="21" t="s">
        <v>140</v>
      </c>
      <c r="G51" s="21" t="s">
        <v>139</v>
      </c>
    </row>
    <row r="52" spans="2:7" x14ac:dyDescent="0.35">
      <c r="B52" s="21" t="s">
        <v>136</v>
      </c>
      <c r="C52" s="21">
        <v>5</v>
      </c>
      <c r="D52" s="21" t="s">
        <v>135</v>
      </c>
      <c r="E52" s="21" t="s">
        <v>154</v>
      </c>
      <c r="F52" s="21" t="s">
        <v>153</v>
      </c>
      <c r="G52" s="21" t="s">
        <v>139</v>
      </c>
    </row>
    <row r="53" spans="2:7" x14ac:dyDescent="0.35">
      <c r="B53" s="21" t="s">
        <v>136</v>
      </c>
      <c r="C53" s="21">
        <v>5</v>
      </c>
      <c r="D53" s="21" t="s">
        <v>135</v>
      </c>
      <c r="E53" s="21" t="s">
        <v>152</v>
      </c>
      <c r="F53" s="21" t="s">
        <v>151</v>
      </c>
      <c r="G53" s="21" t="s">
        <v>0</v>
      </c>
    </row>
    <row r="54" spans="2:7" x14ac:dyDescent="0.35">
      <c r="B54" s="21" t="s">
        <v>136</v>
      </c>
      <c r="C54" s="21">
        <v>5</v>
      </c>
      <c r="D54" s="21" t="s">
        <v>135</v>
      </c>
      <c r="E54" s="21" t="s">
        <v>150</v>
      </c>
      <c r="F54" s="21" t="s">
        <v>149</v>
      </c>
      <c r="G54" s="21" t="s">
        <v>0</v>
      </c>
    </row>
    <row r="55" spans="2:7" x14ac:dyDescent="0.35">
      <c r="B55" s="21" t="s">
        <v>136</v>
      </c>
      <c r="C55" s="21">
        <v>5</v>
      </c>
      <c r="D55" s="21" t="s">
        <v>135</v>
      </c>
      <c r="E55" s="21" t="s">
        <v>148</v>
      </c>
      <c r="F55" s="21" t="s">
        <v>147</v>
      </c>
      <c r="G55" s="21" t="s">
        <v>139</v>
      </c>
    </row>
    <row r="56" spans="2:7" x14ac:dyDescent="0.35">
      <c r="B56" s="21" t="s">
        <v>136</v>
      </c>
      <c r="C56" s="21">
        <v>5</v>
      </c>
      <c r="D56" s="21" t="s">
        <v>135</v>
      </c>
      <c r="E56" s="21" t="s">
        <v>134</v>
      </c>
      <c r="F56" s="21" t="s">
        <v>133</v>
      </c>
      <c r="G56" s="21" t="s">
        <v>132</v>
      </c>
    </row>
    <row r="57" spans="2:7" ht="36" x14ac:dyDescent="0.35">
      <c r="B57" s="21" t="s">
        <v>136</v>
      </c>
      <c r="C57" s="21">
        <v>5</v>
      </c>
      <c r="D57" s="21" t="s">
        <v>135</v>
      </c>
      <c r="E57" s="21" t="s">
        <v>146</v>
      </c>
      <c r="F57" s="22" t="s">
        <v>145</v>
      </c>
      <c r="G57" s="21" t="s">
        <v>144</v>
      </c>
    </row>
    <row r="58" spans="2:7" x14ac:dyDescent="0.35">
      <c r="B58" s="21" t="s">
        <v>136</v>
      </c>
      <c r="C58" s="21">
        <v>6</v>
      </c>
      <c r="D58" s="21" t="s">
        <v>135</v>
      </c>
      <c r="E58" s="21" t="s">
        <v>143</v>
      </c>
      <c r="F58" s="21" t="s">
        <v>142</v>
      </c>
      <c r="G58" s="21" t="s">
        <v>0</v>
      </c>
    </row>
    <row r="59" spans="2:7" x14ac:dyDescent="0.35">
      <c r="B59" s="21" t="s">
        <v>136</v>
      </c>
      <c r="C59" s="21">
        <v>6</v>
      </c>
      <c r="D59" s="21" t="s">
        <v>135</v>
      </c>
      <c r="E59" s="21" t="s">
        <v>141</v>
      </c>
      <c r="F59" s="21" t="s">
        <v>140</v>
      </c>
      <c r="G59" s="21" t="s">
        <v>139</v>
      </c>
    </row>
    <row r="60" spans="2:7" x14ac:dyDescent="0.35">
      <c r="B60" s="21" t="s">
        <v>136</v>
      </c>
      <c r="C60" s="21">
        <v>6</v>
      </c>
      <c r="D60" s="21" t="s">
        <v>135</v>
      </c>
      <c r="E60" s="21" t="s">
        <v>138</v>
      </c>
      <c r="F60" s="21" t="s">
        <v>137</v>
      </c>
      <c r="G60" s="21" t="s">
        <v>0</v>
      </c>
    </row>
    <row r="61" spans="2:7" x14ac:dyDescent="0.35">
      <c r="B61" s="21" t="s">
        <v>136</v>
      </c>
      <c r="C61" s="21">
        <v>6</v>
      </c>
      <c r="D61" s="21" t="s">
        <v>135</v>
      </c>
      <c r="E61" s="21" t="s">
        <v>134</v>
      </c>
      <c r="F61" s="21" t="s">
        <v>133</v>
      </c>
      <c r="G61" s="21" t="s">
        <v>132</v>
      </c>
    </row>
  </sheetData>
  <phoneticPr fontId="10" type="noConversion"/>
  <conditionalFormatting sqref="B44:G61 B3:G42">
    <cfRule type="expression" dxfId="1" priority="1">
      <formula>(($B3&lt;&gt;$B2)+($C3&lt;&gt;$C2))</formula>
    </cfRule>
  </conditionalFormatting>
  <conditionalFormatting sqref="B43:G43">
    <cfRule type="expression" dxfId="0" priority="5">
      <formula>(($B43&lt;&gt;$B40)+($C43&lt;&gt;$C40))</formula>
    </cfRule>
  </conditionalFormatting>
  <dataValidations count="1">
    <dataValidation type="list" allowBlank="1" showInputMessage="1" showErrorMessage="1" sqref="D3:D61" xr:uid="{DD21DE72-22E8-46E0-8FCA-AC6C5081F1BD}">
      <formula1>"Command,Lambda"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<?xml version="1.0" encoding="utf-8"?>
<Text><![CDATA[
BiRow_byPeterBartholomew = LAMBDA(array,function,LET(\\LambdaName, "BiRow_byPeterBartholomew", \\Description, "Perform array function by row", \\Source, "attributed to Peter Bartholomew: https://techcommunity.microsoft.com/discussions/excelgeneral/recursive-lambda-implementation-of-excels-reduce-function-/3949754/replies/3952653#M207809", IF(ROWS(array) = 1, function(array), VSTACK(BiRow_byPeterBartholomew(TAKE(array, ROWS(array) / 2), function), BiRow_byPeterBartholomew(DROP(array, ROWS(array) / 2), function)))));
]]></Text>
</file>

<file path=customXml/item2.xml><?xml version="1.0" encoding="utf-8"?>
<JSON><![CDATA[
{
  "Commands": [
    {
      "Name": "Align Array to Right",
      "Description": "Aligns array to the right with blanks to left",
      "Type": "ExcelFormulaCommand",
      "LaunchCodes": [
        "ar"
      ],
      "Formula": "=RightAlignedArray_byJaqKennedy(IFBLANK([[ActiveCell::Formula]],\"\"))",
      "Tags": [
        "WrapWith"
      ],
      "FormulaDependencies": [
        "RightAlignedArray_byJaqKennedy.lambda",
        "IFBLANK.lambda"
      ]
    },
    {
      "Name": "Backup Sheets in Workbook",
      "Description": "Copy all sheets in workbook for backup",
      "Type": "VBAMacroCommand",
      "LaunchCodes": [
        "BU"
      ],
      "MacroExpression": "modCaseSetup.Backup()",
      "Tags": [
        "Prep"
      ],
      "MacroWorkbookConnection": "ThisWorkbook"
    },
    {
      "Name": "Clear Lambdas",
      "Description": "Clear lambdas that aren't in Lambdas table - for Comp Bot maintenance",
      "Type": "VBAMacroCommand",
      "LaunchCodes": [
        "CL"
      ],
      "MacroExpression": "modLambdas.ClearLambdas()",
      "Tags": [
        "Maintenance"
      ]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Prep"
      ],
      "MacroWorkbookConnection": "ThisWorkbook"
    },
    {
      "Name": "Create Bonus Sheet",
      "Description": "Creates bonus sheet \"B\" with bonus questions",
      "Type": "VBAMacroCommand",
      "LaunchCodes": [
        "CB",
        "CBS"
      ],
      "MacroExpression": "modCaseSetup.CreateBonusSheet()",
      "Tags": [
        "Prep"
      ]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Prep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Prep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Prep"
      ]
    },
    {
      "Name": "Default Settings",
      "Description": "Updates default settings to those in Default Settings sheet",
      "Type": "VBAMacroCommand",
      "LaunchCodes": [
        "DS"
      ],
      "MacroExpression": "modMisc.DefaultSettings()",
      "Tags": [
        "Settings"
      ]
    },
    {
      "Name": "Difference of Array Columns by Row",
      "Description": "Returns first column - last column in array",
      "Type": "ExcelFormulaCommand",
      "LaunchCodes": [
        "diff",
        "dbr"
      ],
      "Formula": "=DiffByRow_byJaqKennedy([[ActiveCell::Formula]])",
      "Tags": [
        "WrapWith"
      ],
      "FormulaDependencies": [
        "DiffByRow_byJaqKennedy.lambda"
      ]
    },
    {
      "Name": "Eggy",
      "Description": "Easter Egg Fun",
      "Type": "VBAMacroCommand",
      "MacroExpression": "modUtilities.Eggy()"
    },
    {
      "Name": "Find Above In Left",
      "Description": "Find above value(s) in left value(s).",
      "Type": "ExcelFormulaCommand",
      "LaunchCodes": [
        "fal"
      ],
      "Formula": "=1-ISERROR(FIND([[ActiveCell.Offset(-1,0).SpillParent.SpillingToRange]],[[ActiveCell.Offset(0,-1).SpillParent.SpillingToRange]]))",
      "Tags": [
        "WrapWith"
      ]
    },
    {
      "Name": "Full Setup Case",
      "Description": "Setup case by running Backup and Level sheet creation",
      "Type": "VBAMacroCommand",
      "ShortCutSendKeyString": "^+g",
      "CommandAfter": "Import Lambda Library",
      "LaunchCodes": [
        "SC"
      ],
      "MacroExpression": "modCaseSetup.Setup()",
      "Tags": [
        "Prep"
      ]
    },
    {
      "Name": "Get Time",
      "Description": "Get current time.",
      "Type": "VBAMacroCommand",
      "LaunchCodes": [
        "NOW"
      ],
      "MacroExpression": "modUtilities.GetTime()",
      "Tags": [
        "Misc"
      ]
    },
    {
      "Name": "Goto Similar Background Color",
      "Description": "Goto similar background color.",
      "Type": "VBAMacroCommand",
      "LaunchCodes": [
        "SBC"
      ],
      "MacroExpression": "modGoToSpecial.GotoSimilarBackgroundColor()",
      "Tags": [
        "GoTo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m\")",
      "Tags": [
        "LAMBDA",
        "Prep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LAMBDA",
        "Prep"
      ]
    },
    {
      "Name": "Insert image in cell",
      "Description": "Insert image in cell.",
      "Type": "ExcelSendKeysCommand",
      "LaunchCodes": [
        "II"
      ],
      "Keystrokes": [
        "%npid"
      ]
    },
    {
      "Name": "Lookup Value by Row",
      "Description": "Returns RC location of a list of values in a range",
      "Type": "ExcelFormulaCommand",
      "LaunchCodes": [
        "lkp"
      ],
      "Formula": "=LkpRCByRow([[ActiveCell::Formula]],[[Clipboard::Address]])",
      "Tags": [
        "WrapWith"
      ],
      "FormulaDependencies": [
        "LkpRCByRow.lambda",
        "BiRow.lambda",
        "LkpRC.lambda",
        "FilterArray.lambda",
        "IsInList.lambda",
        "GRIDTOCOL_byLiannaGerrish.lambda",
        "ADDRESSES_byDiarmuidEarly.lambda"
      ]
    },
    {
      "Name": "Name All Used Ranges",
      "Description": "Renames used range in all sheets",
      "Type": "VBAMacroCommand",
      "LaunchCodes": [
        "NA",
        "NAUR"
      ],
      "MacroExpression": "modNames.NameAllUsedRanges()",
      "Tags": [
        "Name"
      ]
    },
    {
      "Name": "Name Used Ranges",
      "Description": "Names used range in all sheets starting with the prefix as provided in the active cell",
      "Type": "VBAMacroCommand",
      "LaunchCodes": [
        "NURS"
      ],
      "MacroExpression": "modNames.NameUsedRanges([[ActiveCell]])",
      "Tags": [
        "Name"
      ]
    },
    {
      "Name": "Negative Values",
      "Description": "Negative values. with errors as blank",
      "Type": "ExcelFormulaCommand",
      "LaunchCodes": [
        "neg"
      ],
      "Formula": "=IFERROR(-([[ActiveCell::Formula]]),\"\")",
      "Tags": [
        "WrapWith"
      ]
    },
    {
      "Name": "Rename Sheets",
      "Description": "Rename multi-word sheet names",
      "Type": "VBAMacroCommand",
      "LaunchCodes": [
        "rs"
      ],
      "MacroExpression": "modCaseSetup.RenameSht()",
      "Tags": [
        "Prep"
      ]
    },
    {
      "Name": "Save Answers To Left",
      "Description": "Saves references to the selected cells in the green answer cells to the left on the same row.",
      "Type": "VBAMacroCommand",
      "LaunchCodes": [
        "SAL"
      ],
      "MacroExpression": "modCaseSetup.SaveAnswersToLeft()",
      "Tags": [
        "Paste"
      ]
    },
    {
      "Name": "Save Copy of File",
      "Description": "Enable editing and save copy of file with suffix based on active cell (otherwise Working)",
      "Type": "VBAMacroCommand",
      "LaunchCodes": [
        "SA"
      ],
      "MacroExpression": "modCaseSetup.SaveCopy([[ActiveCell]])",
      "Tags": [
        "Prep"
      ]
    },
    {
      "Name": "Sequence of Row Count",
      "Description": "Sequence of row count of array variable",
      "Type": "ExcelFormulaCommand",
      "LaunchCodes": [
        "src"
      ],
      "Formula": "=SEQUENCE(ROWS([[ActiveCell::Formula]]),1,1,1)",
      "Tags": [
        "WrapWith"
      ]
    },
    {
      "Name": "Setup Case",
      "Description": "Setup case by running Backup and Level sheet creation",
      "Type": "VBAMacroCommand",
      "LaunchCodes": [
        "SC"
      ],
      "MacroExpression": "modCaseSetup.Setup()",
      "Tags": [
        "Prep"
      ]
    },
    {
      "Name": "Substitute Blank for 0",
      "Description": "Substitute blank values for 0",
      "Type": "ExcelFormulaCommand",
      "LaunchCodes": [
        "sb0"
      ],
      "Formula": "=SUBSTITUTE([[ActiveCell::Formula]],\"\",0)",
      "Tags": [
        "WrapWith"
      ]
    },
    {
      "Name": "Substitute Blank for 1",
      "Description": "Substitute blank cells for 1",
      "Type": "ExcelFormulaCommand",
      "LaunchCodes": [
        "sb1"
      ],
      "Formula": "=SUBSTITUTE([[ActiveCell::Formula]],\"\",1)",
      "Tags": [
        "WrapWith"
      ]
    },
    {
      "Name": "Toggle Calculation Mode",
      "Description": "Toggles calculation mode and places current mode notice in StatusBar",
      "Type": "VBAMacroCommand",
      "LaunchCodes": [
        "TC"
      ],
      "MacroExpression": "modMisc.ToggleCalculationMode()",
      "Tags": [
        "Settings"
      ]
    },
    {
      "Name": "Toggle Iterative Calculation",
      "Description": "Toggles iterative calculation and sets status in status bar",
      "Type": "VBAMacroCommand",
      "LaunchCodes": [
        "IC"
      ],
      "MacroExpression": "modMisc.ToggleIterativeCalculation()",
      "Tags": [
        "Settings"
      ]
    },
    {
      "Name": "Wrap in ABS",
      "Description": "Wrap in abs.",
      "Type": "ExcelFormulaCommand",
      "LaunchCodes": [
        "ABS"
      ],
      "Formula": "=ABS([[ActiveCell::Formula]])",
      "Tags": [
        "WrapWith"
      ]
    },
    {
      "Name": "Wrap in Concat",
      "Description": "Wrap in concat.",
      "Type": "ExcelFormulaCommand",
      "LaunchCodes": [
        "con"
      ],
      "Formula": "=CONCAT([[ActiveCell::Formula]])",
      "Tags": [
        "WrapWith"
      ]
    },
    {
      "Name": "Wrap in Drop First Row",
      "Description": "Wrap in drop first row",
      "Type": "ExcelFormulaCommand",
      "LaunchCodes": [
        "DF"
      ],
      "Formula": "=DROP([[ActiveCell::Formula]],1)",
      "Tags": [
        "WrapWith"
      ]
    },
    {
      "Name": "Wrap in IFERROR with space",
      "Description": "Wrap in iferror.",
      "Type": "ExcelFormulaCommand",
      "LaunchCodes": [
        "err"
      ],
      "Formula": "=IFERROR([[ActiveCell::Formula]],\" \")",
      "Tags": [
        "WrapWith"
      ]
    },
    {
      "Name": "Wrap in Take by Copied Cell Columns",
      "Description": "Wrap in take by copied cell columns.",
      "Type": "ExcelFormulaCommand",
      "LaunchCodes": [
        "TCC"
      ],
      "Formula": "=TAKE([[ActiveCell::Formula]],,[[Clipboard]])",
      "Tags": [
        "WrapWith"
      ]
    },
    {
      "Name": "Wrap in UNICHAR",
      "Description": "Wrap in unichar.",
      "Type": "ExcelFormulaCommand",
      "LaunchCodes": [
        "char"
      ],
      "Formula": "=UNICHAR([[ActiveCell::Formula]])",
      "Tags": [
        "WrapWith"
      ]
    },
    {
      "Name": "Wrap in UNICODE",
      "Description": "Wrap in unicode.",
      "Type": "ExcelFormulaCommand",
      "LaunchCodes": [
        "code"
      ],
      "Formula": "=UNICODE([[ActiveCell::Formula]])",
      "Tags": [
        "WrapWith"
      ]
    },
    {
      "Name": "Wrap with IFERROR TEXTBEFORE space",
      "Description": "Wraps current formula with TEXTBEFORE space with IFERROR in case space doesn't exist",
      "Type": "ExcelFormulaCommand",
      "LaunchCodes": [
        "tbse"
      ],
      "Formula": "=IFERROR(TEXTBEFORE([[ActiveCell::Formula]],\" \"),[[ActiveCell::Formula]])",
      "Tags": [
        "WrapWith"
      ]
    },
    {
      "Name": "Wrap with TextBefore Space",
      "Description": "Text before space.",
      "Type": "ExcelFormulaCommand",
      "LaunchCodes": [
        "tbs"
      ],
      "Formula": "=TEXTBEFORE([[ActiveCell::Formula]],\" \")",
      "Tags": [
        "WrapWith"
      ]
    }
  ],
  "Texts": [
    {
      "Name": "ADDRESSES_byDiarmuidEarly.lambda",
      "Description": "Definition of ADDRESSES_byDiarmuidEarly lambda function.",
      "Type": "ExcelNameText",
      "ContentType": "ExcelFormula",
      "Location": "ADDRESSES_byDiarmuidEarly"
    },
    {
      "Name": "BiRow.lambda",
      "Description": "Definition of BiRow lambda function.",
      "Type": "ExcelNameText",
      "ContentType": "ExcelFormula",
      "Location": "BiRow"
    },
    {
      "Name": "DiffByRow_byJaqKennedy.lambda",
      "Description": "Definition of DiffByRow_byJaqKennedy lambda function.",
      "Type": "ExcelNameText",
      "ContentType": "ExcelFormula",
      "Location": "DiffByRow_byJaqKennedy"
    },
    {
      "Name": "FilterArray.lambda",
      "Description": "Definition of FilterArray lambda function.",
      "Type": "ExcelNameText",
      "ContentType": "ExcelFormula",
      "Location": "FilterArray"
    },
    {
      "Name": "GRIDTOCOL_byLiannaGerrish.lambda",
      "Description": "Definition of GRIDTOCOL_byLiannaGerrish lambda function.",
      "Type": "ExcelNameText",
      "ContentType": "ExcelFormula",
      "Location": "GRIDTOCOL_byLiannaGerrish"
    },
    {
      "Name": "IFBLANK.lambda",
      "Description": "Definition of IFBLANK lambda function.",
      "Type": "ExcelNameText",
      "ContentType": "ExcelFormula",
      "Location": "IFBLANK"
    },
    {
      "Name": "IsInList.lambda",
      "Description": "Definition of IsInList lambda function.",
      "Type": "ExcelNameText",
      "ContentType": "ExcelFormula",
      "Location": "IsInList"
    },
    {
      "Name": "LkpRC.lambda",
      "Description": "Definition of LkpRC lambda function.",
      "Type": "ExcelNameText",
      "ContentType": "ExcelFormula",
      "Location": "LkpRC"
    },
    {
      "Name": "LkpRCByRow.lambda",
      "Description": "Definition of LkpRCByRow lambda function.",
      "Type": "ExcelNameText",
      "ContentType": "ExcelFormula",
      "Location": "LkpRCByRow"
    },
    {
      "Name": "RightAlignedArray_byJaqKennedy.lambda",
      "Description": "Definition of RightAlignedArray_byJaqKennedy lambda function.",
      "Type": "ExcelNameText",
      "ContentType": "ExcelFormula",
      "Location": "RightAlignedArray_byJaqKennedy"
    }
  ]
}
]]></JSON>
</file>

<file path=customXml/item3.xml><?xml version="1.0" encoding="utf-8"?>
<Text><![CDATA[
GRIDTOCOL_byLiannaGerrish = LAMBDA(grid,[ShowAll_0], LET(
   \\LambdaName, "GRIDTOCOL",
   items_grid, TOCOL(grid),
   addr_col, TOCOL(ADDRESSES_byDiarmuidEarly(grid)),
   rows, ROW(INDIRECT(addr_col)) * 1,
   cols, COLUMN(INDIRECT(addr_col)) * 1,
   rcnum, TOCOL(1000000 * rows + 1000 + cols),
   headers, HSTACK("Items", "Row #", "Column #", "Address", "RCRef"),
   data_grid, HSTACK(items_grid, rows, cols, addr_col, rcnum),
   IF(
      OR(ISOMITTED(ShowAll_0), ShowAll_0 <> 0),
      VSTACK(headers, FILTER(data_grid, CHOOSECOLS(data_grid, 1) <> 0)),
      VSTACK(headers, data_grid)
   )
));
]]></Text>
</file>

<file path=customXml/item4.xml><?xml version="1.0" encoding="utf-8"?>
<Text><![CDATA[
ADDRESSES_byDiarmuidEarly = LAMBDA(rng, ADDRESS(ROW(rng), COLUMN(rng), 4));
]]></Text>
</file>

<file path=customXml/item5.xml><?xml version="1.0" encoding="utf-8"?>
<Text><![CDATA[
FilterArray = LAMBDA(data,column_indexes,filter_values,LET(\\LambdaName, "FilterArray", FILTER(data, BYROW(IsInList(CHOOSECOLS(data, column_indexes), filter_values), LAMBDA(x, AND(x))))));
]]></Text>
</file>

<file path=customXml/item6.xml><?xml version="1.0" encoding="utf-8"?>
<Text><![CDATA[
BiRow = LAMBDA(array,function, LET(
   \\LambdaName, "BiRow",
   \\Description, "Perform array function by row",
   \\Source, "https://techcommunity.microsoft.com/discussions/excelgeneral/recursive-lambda-implementation-of-excels-reduce-function-/3949754/replies/3952653#M207809",
   IF(
      ROWS(array) = 1,
      function(array),
      VSTACK(
         BiRow(TAKE(array, ROWS(array) / 2), function),
         BiRow(DROP(array, ROWS(array) / 2), function)
      )
   )
));
]]></Text>
</file>

<file path=customXml/item7.xml><?xml version="1.0" encoding="utf-8"?>
<Text><![CDATA[
FilterArray_byErikOehm = LAMBDA(data,column_indexes,filter_values,LET(\\LambdaName, "FilterArray", FILTER(data, BYROW(IsInList_byErikOehm(CHOOSECOLS(data, column_indexes), filter_values), LAMBDA(x, AND(x))))));
]]></Text>
</file>

<file path=customXml/item8.xml><?xml version="1.0" encoding="utf-8"?>
<Text><![CDATA[
IFBLANK = LAMBDA(value,value_if_blank, IF(ISBLANK(value), value_if_blank, value));
]]></Text>
</file>

<file path=customXml/item9.xml><?xml version="1.0" encoding="utf-8"?>
<Text><![CDATA[
LkpRC = LAMBDA(ToFind,Range,LET(\\LambdaName, "LkpRC", \\CommandName, "Lookup RC coordinates ", \\Description, "Looks up RC coordinates of matching cell(s) in range", CHOOSECOLS(FilterArray_byErikOehm(GRIDTOCOL_byLiannaGerrish(Range), {1}, ToFind), {2,3})));
]]></Text>
</file>

<file path=customXml/item10.xml><?xml version="1.0" encoding="utf-8"?>
<Text><![CDATA[
LkpRCByRow = LAMBDA(ToFind,Range,LET(\\LambdaName, "LkpRCByRow", \\CommandName, "Lookup Value by Row", \\Description, "Returns RC location of a list of values in a range", \\Source, "Jaq Kennedy", BiRow_byPeterBartholomew(ToFind, LAMBDA(a, IFERROR(CHOOSEROWS(LkpRC(a, Range), 1), {"",""})))));
]]></Text>
</file>

<file path=customXml/item11.xml><?xml version="1.0" encoding="utf-8"?>
<Text><![CDATA[
IsInList =     LAMBDA(array,list,LET(
   \\LambdaName, "IsInList",
MAP(array,LAMBDA(x,OR(list=x))))
);
]]></Text>
</file>

<file path=customXml/item12.xml><?xml version="1.0" encoding="utf-8"?>
<Text><![CDATA[
ADDRESSES_byDiarmuidEarly = LAMBDA(rng, ADDRESS(ROW(rng), COLUMN(rng), 4));
]]></Text>
</file>

<file path=customXml/item13.xml><?xml version="1.0" encoding="utf-8"?>
<Text><![CDATA[
]]></Text>
</file>

<file path=customXml/item14.xml><?xml version="1.0" encoding="utf-8"?>
<Text><![CDATA[
DiffByRow_byJaqKennedy = LAMBDA(Input,LET(\\LambdaName, "DiffByRow", \\CommandName, "Difference of array columns by row", \\Description, "Returns first column - last column in array", \\Source, "Jaq Kennedy", TAKE(Input, , 1) - TAKE(Input, , -1)));
]]></Text>
</file>

<file path=customXml/item15.xml><?xml version="1.0" encoding="utf-8"?>
<Text><![CDATA[
/*Aligns contents of array to the right - ignoring blanks*/
RightAlignedArray_byJaqKennedy = LAMBDA(input,LET(\\LambdaName, "RightAlignedArray", \\CommandName, "Align array to right", \\Description, "Aligns array to the right with blanks to left", \\Source, "Jaq Kennedy", _ColsByRow, BYROW(input, COUNT), _Rows, ROWS(input), _Cols, COLUMNS(input), _ColIndex, IF(MOD(SEQUENCE(_Rows, _Cols) - 1, _Cols) + 1 - _Cols + _ColsByRow <= 0, -1, MOD(SEQUENCE(_Rows, _Cols) - 1, _Cols) + 1 - _Cols + _ColsByRow), _RowIndex, SEQUENCE(_Rows), _Result, IFERROR(INDEX(input, _RowIndex, _ColIndex), ""), _Result));
]]></Text>
</file>

<file path=customXml/item16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oAIABSAGUAdAB1AHIAbgBzACAAYQAgAGwAaQBzAHQAIABvAGYAIABkAGkAZQAgACoALwBcAG4AZABpAGMAZQAgAD0AIAB7AFwAIgCAJlwAIgA7AFwAIgCBJlwAIgA7AFwAIgCCJlwAIgA7AFwAIgCDJlwAIgA7AFwAIgCEJlwAIgA7AFwAIgCFJlwAIgB9ADsAXABuAFwAbgAvACoAIABHAGUAdABzACAAdABoAGUAIABuAHUAbQBiAGUAcgAgAG8AZgAgAHAAaQBwAHMAIABvAG4AIABhACAAZABpAGUAIAAqAC8AXABuAHAAaQBwAHMAIAA9ACAATABBAE0AQgBEAEEAKABkACwAIABVAE4ASQBDAE8ARABFACgAZAApACAALQAgADkAOAA1ADUAKQA7AFwAbgBcAG4ALwAqACAAUwBoAG8AcgB0AGUAbgBlAGQAIABMAEUATgAoACkAIAAtACAATABFAE4AKABTAFUAQgBTAFQASQBUAFUAVABFACgAKQApACAAYQBuAGQAIABkAGkAdgBpAGQAZQBzACAAYgB5ACAAbABlAG4AZwB0AGgAIAAqAC8AXABuAGMAbwB1AG4AdABPAGMAYwAgAD0AIABMAEEATQBCAEQAQQAoAHMAdAByACwAIABzAHUAYgAsACAAKABMAEUATgAoAHMAdAByACkAIAAtACAATABFAE4AKABTAFUAQgBTAFQASQBUAFUAVABFACgAcwB0AHIALAAgAHMAdQBiACwAIABcACIAXAAiACkAKQApACAALwAgAEwARQBOACgAcwB1AGIAKQApADsAXABuAFwAbgAvACoAIABSAGUAdAB1AHIAbgBzACAAYQAgAHMAcABsAGkAdAAgAGwAaQBzAHQAIABvAGYAIABjAGgAYQByAGEAYwB0AGUAcgBzACAAaABvAHIAaQB6AG8AbgB0AGEAbABsAHkAIAAqAC8AXABuAHMAcABsAGkAdABCAHkAQwBoAGEAcgBhAGMAdABlAHIAIAA9AFwAbgBMAEEATQBCAEQAQQAoAHcAcgBkACwAIABbAGwAZQBuAF0ALAAgAFsAcwBwAGwAaQB0AF0ALABcAG4AIAAgAEwARQBUACgAXABuACAAIAAgACAAXwBsAGUAbgAsACAATQBBAFgAKABsAGUAbgAsACAAMQApACwAXABuACAAIAAgACAASQBGACgAXABuACAAIAAgACAAIAAgAHMAcABsAGkAdAAsAFwAbgAgACAAIAAgACAAIABNAEkARAAoAFwAbgAgACAAIAAgACAAIAAgACAAdwByAGQALABcAG4AIAAgACAAIAAgACAAIAAgAFMARQBRAFUARQBOAEMARQAoADEALAAgAEwARQBOACgAdwByAGQAKQAvAF8AbABlAG4ALAAgADEALAAgAF8AbABlAG4AKQAsAFwAbgAgACAAIAAgACAAIAAgACAAXwBsAGUAbgBcAG4AIAAgACAAIAAgACAAKQAsAFwAbgAgACAAIAAgACAAIABNAEkARAAoAFwAbgAgACAAIAAgACAAIAAgACAAdwByAGQALABcAG4AIAAgACAAIAAgACAAIAAgAFMARQBRAFUARQBOAEMARQAoADEALAAgAEwARQBOACgAdwByAGQAKQAtAF8AbABlAG4AKwAxACkALABcAG4AIAAgACAAIAAgACAAIAAgAF8AbABlAG4AXABuACAAIAAgACAAIAAgACkAXABuACAAIAAgACAAKQBcAG4AIAAgACkAXABuACkAOwBcAG4AXABuAC8AKgAgAFIAZQB0AHUAcgBuAHMAIABhACAAbABpAHMAdAAgAG8AZgAgAGEAcgByAG8AdwBzACAAKgAvAFwAbgBhAHIAcgBzACAAPQAgAHsAXAAiAJAhXAAiACwAXAAiAJIhXAAiACwAXAAiAJEhXAAiACwAXAAiAJMhXAAiACwAXAAiAJYhXAAiACwAXAAiAJchXAAiACwAXAAiAJkhXAAiACwAXAAiAJghXAAiAH0AOwBcAG4AXABuAC8AKgAgAFIAZQB0AHUAcgBuAHMAIAAtADEAIABmAG8AcgAgAGEAcgByAG8AdwAgAHAAbwBpAG4AdABpAG4AZwAgAGwAZQBmAHQALAAgADEAIABmAG8AcgAgAHIAaQBnAGgAdAAsACAAYQBuAGQAIAAwACAAZgBvAHIAIAB1AHAAIABvAHIAIABkAG8AdwBuACAAKgAvAFwAbgBhAHIAcgBzAEwAUgAgAD0AIAB7AC0AMQAsADEALAAwACwAMAAsAC0AMQAsADEALAAtADEALAAxAH0AOwBcAG4AXABuAC8AKgAgAFIAZQB0AHUAcgBuAHMAIAAwACAAZgBvAHIAIABhAHIAcgBvAHcAIABwAG8AaQBuAHQAaQBuAGcAIABsAGUAZgB0ACAAbwByACAAcgBpAGcAaAB0ACwAIAAtADEAIABmAG8AcgAgAGQAbwB3AG4ALAAgAGEAbgBkACAAMQAgAGYAbwByACAAdQBwACAAKgAvAFwAbgBhAHIAcgBzAFUARAAgAD0AIAB7ADAALAAwACwAMQAsAC0AMQAsADEALAAxACwALQAxACwALQAxAH0AOwBcAG4AXABuAC8AKgAgAFMAdABhAGMAawBzACAAYQBsAGwAIAAzACAAbwBmACAAdABoAGUAIABhAHIAcgBvAHcAcwAgAGYAdQBuAGMAdABpAG8AbgBzACAAKgAvAFwAbgBhAHIAcgBzAEEAbABsACAAPQAgAFYAUwBUAEEAQwBLACgAYQByAHIAcwAsACAAYQByAHIAcwBMAFIALAAgAGEAcgByAHMAVQBEACkAOwBcAG4AXABuAC8AKgAgAEEAcgByAG8AdwAgAGMAbwBtAGIAaQBuAGEAdABpAG8AbgBzADoAIABjAHUAcwB0AG8AbQBpAHoAYQBiAGwAZQAgAHcAaQB0AGgAIAByAG8AdwAvAGMAbwBsACAAbQB1AGwAdABpAHAAbABpAGUAcgBzACAAKgAvAFwAbgBhAHIAcgBzAEMAbwBtAGIAIAA9ACAATABBAE0AQgBEAEEAKABbAHIAdwBNAHUAbAB0AF0ALAAgAFsAYwBsAE0AdQBsAHQAXQAsACAAYQByAHIAcwBMAFIAIAAqACAASQBGACgASQBTAE8ATQBJAFQAVABFAEQAKABjAGwATQB1AGwAdAApACwAMQAsAGMAbABNAHUAbAB0ACkAIAArACAAYQByAHIAcwBVAEQAIAAqACAASQBGACgASQBTAE8ATQBJAFQAVABFAEQAKAByAHcATQB1AGwAdAApACwAMQAwADAAMAAsAHIAdwBNAHUAbAB0ACkAKQA7AFwAbgBcAG4ALwAqACAASwBuAGkAZwBoAHQAIABtAG8AdgBlAG0AZQBuAHQAIAB2AGUAYwB0AG8AcgBzACAAKgAvAFwAbgBrAG4AaQBnAGgAdABMAFIAIAA9ACAAewAxADsAMQA7AC0AMQA7AC0AMQA7ADIAOwAyADsALQAyADsALQAyAH0AOwBcAG4AawBuAGkAZwBoAHQAVQBEACAAPQAgAHsAMgA7AC0AMgA7ADIAOwAtADIAOwAxADsALQAxADsAMQA7AC0AMQB9ADsAXABuAGsAbgBpAGcAaAB0AEMAbwBtAGIAIAA9ACAATABBAE0AQgBEAEEAKABMAHIAbQB1AGwAdAAsACAAVQBEAG0AdQBsAHQALAAgAF8AawBuAGkAZwBoAHQATABSACAAKgAgAEwAcgBtAHUAbAB0ACAAKwAgAF8AawBuAGkAZwBoAHQAVQBEACAAKgAgAFUARABtAHUAbAB0ACkAOwBcAG4AXABuAC8AKgAgAEMAbwBtAGIAaQBuAGUAIABkAGkAcgBlAGMAdABpAG8AbgBzACAAKgAvAFwAbgBkAGkAcgBzAEMAbwBtAGIAIAA9ACAATABBAE0AQgBEAEEAKABMAHIAcwBoAGkAZgB0ACwAIABMAHIAbQB1AGwAdAAsACAAVQBEAHMAaABpAGYAdAAsACAAVQBEAG0AdQBsAHQALAAgAEwAcgBzAGgAaQBmAHQAIAAqACAATAByAG0AdQBsAHQAIAArACAAVQBEAHMAaABpAGYAdAAgACoAIABVAEQAbQB1AGwAdAApADsAXABuAFwAbgAvACoAIABSAGUAdAB1AHIAbgBzACAAYQAgAGwAaQBzAHQAIABvAGYAIABjAGEAcgBkACAAcwB1AGkAdABzACAAKgAvAFwAbgBzAHUAaQB0AHMAIAA9ACAAewBcACIAZiZcACIAOwBcACIAZSZcACIAOwBcACIAYCZcACIAOwBcACIAYyZcACIAfQA7AFwAbgBcAG4ALwAqACAAUgBlAHQAdQByAG4AcwAgAHQAaABlACAAbwBwAHAAbwBzAGkAdABlACAAYwBhAHIAZAAgAHMAdQBpAHQAIAAqAC8AXABuAHMAdQBpAHQAcwBPAHAAcAAgAD0AIAB7AFwAIgBlJlwAIgA7AFwAIgBmJlwAIgA7AFwAIgBjJlwAIgA7AFwAIgBgJlwAIgB9ADsAXABuAFwAbgAvACoAIABDAGEAbgAgAGIAZQAgAHUAcwBlAGQAIAB0AG8AIAByAGUAdAB1AHIAbgAgAGEAIABsAGkAcwB0ACAAbwBmACAAYwBhAHIAZABzACAAdwBpAHQAaAAgAHQAaABlAGkAcgAgAG4AdQBtAGIAZQByACAAYQBuAGQAIABzAHUAaQB0ACAAKgAvAFwAbgBjAGEAcgBkAE8AcgBkACAAPQAgAHsAXAAiAEEAXAAiADsAXAAiADIAXAAiADsAXAAiADMAXAAiADsAXAAiADQAXAAiADsAXAAiADUAXAAiADsAXAAiADYAXAAiADsAXAAiADcAXAAiADsAXAAiADgAXAAiADsAXAAiADkAXAAiADsAXAAiADEAXAAiADsAXAAiAEoAXAAiADsAXAAiAFEAXAAiADsAXAAiAEsAXAAiAH0AOwBcAG4AXABuAC8AKgAgAEcAZQB0AHMAIAB0AGgAZQAgAG0AbwBzAHQAIABmAHIAZQBxAHUAZQBuAHQAIABpAHQAZQBtAHMAIABpAG4AIABhACAAcgBhAG4AZwBlACAAKgAvAFwAbgBtAG8AcwB0AE8AZgAgAD0AIABMAEEATQBCAEQAQQAoAHIAbgBnACwAIABbAG8AcgBkAF0ALAAgAFsAbwBuAGwAeQBdACwAIABbAGUAeABjAGwAdQBkAGUAXQAsAFwAbgBMAEUAVAAoAFwAbgAgACAAIAAgAGEALAAgAFUATgBJAFEAVQBFACgAVABPAEMATwBMACgASQBGACgAcgBuAGcAIAA9ACAAXAAiAFwAIgAsACAAXAAiAFwAIgAsACAAcgBuAGcAKQAsACAAMwApACkALABcAG4AIAAgACAAIABfAGkAbgBjAGwAdQBkAGUALAAgAEIAWQBSAE8AVwAoAGEAIAA8AD4AIABUAE8AUgBPAFcAKABlAHgAYwBsAHUAZABlACkALAAgAEwAQQBNAEIARABBACgAeAAsACAAUABSAE8ARABVAEMAVAAoAE4AKAB4ACkAKQApACkALABcAG4AIAAgACAAIABmAGkAbAB0AGUAcgBlAGQALAAgAEkARgAoAEkAUwBPAE0ASQBUAFQARQBEACgAZQB4AGMAbAB1AGQAZQApACwAIABhACwAIABGAEkATABUAEUAUgAoAGEALAAgAF8AaQBuAGMAbAB1AGQAZQApACkALABcAG4AIAAgACAAIABiACwAIABNAEEAUAAoAGYAaQBsAHQAZQByAGUAZAAsACAATABBAE0AQgBEAEEAKAB4ACwAIABTAFUATQAoAC0ALQAoAEkARgBFAFIAUgBPAFIAKAB4ACAAPQAgAHIAbgBnACwAIAAwACkAKQApACkAKQAsAFwAbgAgACAAIAAgAHMAbwByAHQAZQBkACwAIABTAE8AUgBUACgASABTAFQAQQBDAEsAKABmAGkAbAB0AGUAcgBlAGQALAAgAGIAKQAsACAAMgAsACAASQBGACgASQBTAE8ATQBJAFQAVABFAEQAKABvAHIAZAApACwAIAAtADEALAAgAG8AcgBkACkAKQAsAFwAbgAgACAAIAAgAEkARgAoAG8AbgBsAHkALAAgAEkATgBEAEUAWAAoAHMAbwByAHQAZQBkACwAIAAxACwAIAAyACkALAAgAHMAbwByAHQAZQBkACkAXABuACkAKQA7AFwAbgBcAG4ALwAqACAAUgBlAHQAdQByAG4AcwAgAHQAaABlACAAYwBoAGEAcgBhAGMAdABlAHIAIAB0AGgAYQB0ACAAYwBvAG0AZQBzACAAYQBmAHQAZQByACAAaQBuACAAYQAgAGwAaQBzAHQAIAAqAC8AXABuAG4AeAB0ACAAPQAgAEwAQQBNAEIARABBACgAYQByAHIALAAgAFsAbgBdACwAIABbAGYAaQBsAGwAXQAsACAATABFAFQAKABcAG4AIAAgAF8AbgAsACAATQBBAFgAKAAxACwAIABuACkALABcAG4AIAAgAF8AZgBpAGwAbAAsACAASQBGACgASQBTAE8ATQBJAFQAVABFAEQAKABmAGkAbABsACkALAAgAFwAIgBYAFwAIgAsACAAZgBpAGwAbAApACwAXABuACAAIABJAEYAKABSAE8AVwBTACgAYQByAHIAKQAgAD0AIAAxACwAXABuACAAIAAgACAAIABIAFMAVABBAEMASwAoAEQAUgBPAFAAKABhAHIAcgAsACwAXwBuACkALAAgAEkARgAoAFMARQBRAFUARQBOAEMARQAoACwAXwBuACkALAAgAF8AZgBpAGwAbAApACkALABcAG4AIAAgACAAIAAgAFYAUwBUAEEAQwBLACgARABSAE8AUAAoAGEAcgByACwAXwBuACkALAAgAEkARgAoAFMARQBRAFUARQBOAEMARQAoAF8AbgAsACAAQwBPAEwAVQBNAE4AUwAoAGEAcgByACkAKQAsACAAXwBmAGkAbABsACkAKQBcAG4AIAAgACkAXABuACkAKQA7AFwAbgBcAG4ALwAqACAAUgBlAHQAdQByAG4AcwAgAHQAaABlACAAcAByAGUAdgBpAG8AdQBzACAAYwBoAGEAcgBhAGMAdABlAHIAIABpAG4AIABhACAAbABpAHMAdAAgACoALwBcAG4AcAByAGUAdgAgAD0AIABMAEEATQBCAEQAQQAoAGEAcgByACwAIABbAG4AXQAsACAAWwBmAGkAbABsAF0ALAAgAEwARQBUACgAXABuACAAIABfAG4ALAAgAE0AQQBYACgAMQAsACAAbgApACwAXABuACAAIABfAGYAaQBsAGwALAAgAEkARgAoAEkAUwBPAE0ASQBUAFQARQBEACgAZgBpAGwAbAApACwAIABcACIAWABcACIALAAgAGYAaQBsAGwAKQAsAFwAbgAgACAASQBGACgAUgBPAFcAUwAoAGEAcgByACkAIAA9ACAAMQAsAFwAbgAgACAAIAAgACAASABTAFQAQQBDAEsAKABJAEYAKABTAEUAUQBVAEUATgBDAEUAKAAsAF8AbgApACwAIABfAGYAaQBsAGwAKQAsACAARABSAE8AUAAoAGEAcgByACwALAAtAF8AbgApACkALABcAG4AIAAgACAAIAAgAFYAUwBUAEEAQwBLACgASQBGACgAUwBFAFEAVQBFAE4AQwBFACgAXwBuACwAIABDAE8ATABVAE0ATgBTACgAYQByAHIAKQApACwAIABfAGYAaQBsAGwAKQAsACAARABSAE8AUAAoAGEAcgByACwALQBfAG4AKQApAFwAbgAgACAAKQBcAG4AKQApADsAXABuAFwAbgAvACoAIABHAGkAdgBlAHMAIABhAGwAbAAgAHQAaABlACAAcABvAHMAcwBpAGIAbABlACAAYwBvAG0AYgBpAG4AYQB0AGkAbwBuAHMAIABvAGYAIABuAHUAbQBiAGUAcgBzACAAKABvAG4AbAB5ACAAaABhAG4AZABsAGUAcwAgAHMAaQBuAGcAbABlACAAZABpAGcAaQB0AHMAKQAgACoALwBcAG4AcABlAHIAQwBvAG0AIAA9ACAATABBAE0AQgBEAEEAKABuACwAIABjACwAIABbAFAAMABDADEAXQAsACAAWwByAGUAcABdACwAIABMAEUAVAAoAFwAbgAgACAAcwAsACAAUwBFAFEAVQBFAE4AQwBFACgALABuACkALABcAG4AIAAgAC0ALQBNAEkARAAoAFIARQBEAFUAQwBFACgAXAAiAFwAIgAsACAAUwBFAFEAVQBFAE4AQwBFACgAYwApACwAIABMAEEATQBCAEQAQQAoAGEALAB3ACwAXABuACAAIAAgACAAVABPAEMATwBMACgASQBGAFMAKABcAG4AIAAgACAAIAAgACAASQBGACgAUAAwAEMAMQAsACAASQBGACgAcgBlAHAALAAgAFIASQBHAEgAVAAoAGEAKQA8AD0AcwAmAFwAIgBcACIALAAgAFIASQBHAEgAVAAoAGEAKQA8AHMAJgBcACIAXAAiACkALABcAG4AIAAgACAAIAAgACAASQBGACgAcgBlAHAALAAgADEALAAgAEkAUwBFAFIAUgAoAEYASQBOAEQAKABzACwAIABhACkAKQApAFwAbgAgACAAIAAgACkALAAgAGEAJgBzACkALAAgADMAKQApACkALABcAG4AIAAgAFMARQBRAFUARQBOAEMARQAoACwAYwApACwAIAAxACkAXABuACkAKQA7AFwAbgBcAG4ALwAqACAARwBpAHYAZQBzACAAdABoAGUAIAByAGUAbABhAHQAaQB2AGUAIABhAGQAZAByAGUAcwBzAGUAcwAgAG8AZgAgAGEAIAByAGEAbgBnAGUAIAAqAC8AXABuAGEAZABkAHIAZQBzAHMAZQBzACAAPQAgAEwAQQBNAEIARABBACgAcgBuAGcALAAgAEEARABEAFIARQBTAFMAKABSAE8AVwAoAHIAbgBnACkALAAgAEMATwBMAFUATQBOACgAcgBuAGcAKQAsACAANAApACkAOwBcAG4AXABuAC8AKgAgAEcAZQB0AHMAIAB0AGgAZQAgAGEAZABkAHIAZQBzAHMAIABpAG4AIABzAHQAZQBwAHMAIABvAGYAIAAxADAAMAAwACAAKgAvAFwAbgByAHcAQwBsAE4AbQAgAD0AIABMAEEATQBCAEQAQQAoAGEAcgByACwAIABbAHIAdwBNAHUAbAB0AF0ALAAgAFsAYwBsAE0AdQBsAHQAXQAsAFwAbgAgACAASQBGACgASQBTAE8ATQBJAFQAVABFAEQAKAByAHcATQB1AGwAdAApACwAIAAxADAAMAAwACwAIAByAHcATQB1AGwAdAApACAAKgAgAFMARQBRAFUARQBOAEMARQAoAFIATwBXAFMAKABhAHIAcgApACkAIAArAFwAbgAgACAASQBGACgASQBTAE8ATQBJAFQAVABFAEQAKABjAGwATQB1AGwAdAApACwAIAAxACwAIABjAGwATQB1AGwAdAApACAAKgAgAFMARQBRAFUARQBOAEMARQAoACwAIABDAE8ATABVAE0ATgBTACgAYQByAHIAKQApAFwAbgApADsAXABuAFwAbgAvACoAIABHAGkAdgBlAHMAIAB0AGgAZQAgAGQAaQBzAHQAYQBuAGMAZQAgAGYAcgBvAG0AIABhACAAdABhAHIAZwBlAHQAIABpAG4AIABhACAAZwByAGkAZAAgACoALwBcAG4AZABpAHMAdABGAHIAbwBtACAAPQAgAEwAQQBNAEIARABBACgAbQBwACwAIAB0AHIAZwAsACAAZgB1AG4AYwAsACAATABFAFQAKABcAG4AIAAgAHYAYQBsAHMALAAgAFQATwBDAE8ATAAoAG0AcAApACwAXABuACAAIAByAHcAcwAsACAAVABPAEMATwBMACgAUwBFAFEAVQBFAE4AQwBFACgAUgBPAFcAUwAoAG0AcAApACkAIAArACAAMAAqAFMARQBRAFUARQBOAEMARQAoACwAQwBPAEwAVQBNAE4AUwAoAG0AcAApACkAKQAsAFwAbgAgACAAYwBsAHMALAAgAFQATwBDAE8ATAAoAFMARQBRAFUARQBOAEMARQAoAFIATwBXAFMAKABtAHAAKQApACoAMAAgACsAIABTAEUAUQBVAEUATgBDAEUAKAAsAEMATwBMAFUATQBOAFMAKABtAHAAKQApACkALABcAG4AIAAgAE0AcgB3AHMALAAgAFQATwBSAE8AVwAoAEYASQBMAFQARQBSACgAcgB3AHMALAAgAHYAYQBsAHMAIAA9ACAAdAByAGcAKQApACwAXABuACAAIABNAGMAbABzACwAIABUAE8AUgBPAFcAKABGAEkATABUAEUAUgAoAGMAbABzACwAIAB2AGEAbABzACAAPQAgAHQAcgBnACkAKQAsAFwAbgAgACAAcgBkAGkAcwB0ACwAIABBAEIAUwAoAHIAdwBzACAALQAgAE0AcgB3AHMAKQAsAFwAbgAgACAAYwBkAGkAcwB0ACwAIABBAEIAUwAoAGMAbABzACAALQAgAE0AYwBsAHMAKQAsAFwAbgAgACAAZABpAHMAdAAsACAAQgBZAFIATwBXACgATQBBAFAAKAByAGQAaQBzAHQALAAgAGMAZABpAHMAdAAsACAAZgB1AG4AYwApACwAIABNAEkATgApACwAXABuACAAIABXAFIAQQBQAFIATwBXAFMAKABkAGkAcwB0ACwAIABDAE8ATABVAE0ATgBTACgAbQBwACkAKQBcAG4AKQApADsAXABuAFwAbgAvACoAIABBAHAAcABsAGkAZQBzACAAYQAgAGYAdQBuAGMAdABpAG8AbgAgAHQAbwAgAGEAIABjAGUAbABsACcAcwAgAG4AZQBpAGcAaABiAG8AcgBzACAAaQBuACAAYQAgAHIAYQBuAGcAZQAgACoALwBcAG4AbgBlAGkAZwBoAGIAbwByAE8AcAAgAD0AIABMAEEATQBCAEQAQQAoAHIAbgBnACwAIABkAGkAcwB0ACwAIABmAG4AYwAsACAATQBBAEsARQBBAFIAUgBBAFkAKABcAG4AIAAgAFIATwBXAFMAKAByAG4AZwApACwAIABDAE8ATABVAE0ATgBTACgAcgBuAGcAKQAsAFwAbgAgACAATABBAE0AQgBEAEEAKAByACwAIABjACwAXABuACAAIAAgACAAZgBuAGMAKABMAEUAVAAoAFwAbgAgACAAIAAgACAAIABmAGkAcgBzAHQAUgB3ACwAIABNAEEAWAAoAHIAIAAtACAAZABpAHMAdAAsACAAMQApACwAXABuACAAIAAgACAAIAAgAGYAaQByAHMAdABDAGwALAAgAE0AQQBYACgAYwAgAC0AIABkAGkAcwB0ACwAIAAxACkALABcAG4AIAAgACAAIAAgACAAbABhAHMAdABSAHcALAAgAE0ASQBOACgAcgAgACsAIABkAGkAcwB0ACwAIABSAE8AVwBTACgAcgBuAGcAKQApACwAXABuACAAIAAgACAAIAAgAGwAYQBzAHQAQwBsACwAIABNAEkATgAoAGMAIAArACAAZABpAHMAdAAsACAAQwBPAEwAVQBNAE4AUwAoAHIAbgBnACkAKQAsAFwAbgAgACAAIAAgACAAIABDAEgATwBPAFMARQBDAE8ATABTACgAXABuACAAIAAgACAAIAAgACAAIABDAEgATwBPAFMARQBSAE8AVwBTACgAcgBuAGcALAAgAFMARQBRAFUARQBOAEMARQAoAGwAYQBzAHQAUgB3ACAALQAgAGYAaQByAHMAdABSAHcAIAArACAAMQAsACwAZgBpAHIAcwB0AFIAdwApACkALABcAG4AIAAgACAAIAAgACAAIAAgAFMARQBRAFUARQBOAEMARQAoAGwAYQBzAHQAQwBsACAALQAgAGYAaQByAHMAdABDAGwAIAArACAAMQAsACwAZgBpAHIAcwB0AEMAbAApAFwAbgAgACAAIAAgACAAIAApAFwAbgAgACAAIAAgACkAKQBcAG4AIAAgACkAXABuACkAKQA7AFwAbgAvACoAIABDAGgAZQBjAGsAcwAgAHcAaABlAHQAaABlAHIAIABhACAAcABhAGwAaQBuAGQAcgBvAG0AZQAgAGkAcwAgAGcAaQB2AGUAbgAgACgAYQBuAHMAdwBlAHIAIAB3AGkAdABoACAAVABSAFUARQAvAEYAQQBMAFMARQApACAAKgAvAFwAbgBpAHMAUABhAGwAaQBuAGQAcgBvAG0AZQAgAD0AIABMAEEATQBCAEQAQQAoAHQAZQB4AHQALABcAG4AIAAgACAAIABMAEUAVAAoAFwAbgAgACAAIAAgACAAIAAgACAAYwBsAGUAYQBuACwAIABMAE8AVwBFAFIAKABTAFUAQgBTAFQASQBUAFUAVABFACgAUwBVAEIAUwBUAEkAVABVAFQARQAoAFQAUgBJAE0AKAB0AGUAeAB0ACkALAAgAFwAIgAgAFwAIgAsACAAXAAiAFwAIgApACwAIABcACIALQBcACIALAAgAFwAIgBcACIAKQApACwAXABuACAAIAAgACAAIAAgACAAIABjAGwAZQBhAG4AIAA9ACAAVABFAFgAVABKAE8ASQBOACgAXAAiAFwAIgAsACAALAAgAE0ASQBEACgAYwBsAGUAYQBuACwAIABTAEUAUQBVAEUATgBDAEUAKABMAEUATgAoAGMAbABlAGEAbgApACwALABMAEUATgAoAGMAbABlAGEAbgApACwALQAxACkALAAgADEAKQApAFwAbgAgACAAIAAgACkAXABuACkAOwBcAG4ALwAqACAAUgBlAHYAZQByAHMAZQBzACAAYQAgAHMAdAByAGkAbgBnACAAKgAvAFwAbgByAGUAdgBlAHIAcwBlAFMAdAByAGkAbgBnACAAPQAgAEwAQQBNAEIARABBACgAdAB4AHQALABcAG4AIAAgACAAIABUAEUAWABUAEoATwBJAE4AKABcACIAXAAiACwALABNAEkARAAoAHQAeAB0ACwAUwBFAFEAVQBFAE4AQwBFACgATABFAE4AKAB0AHgAdAApACwALABMAEUATgAoAHQAeAB0ACkALAAtADEAKQAsADEAKQApAFwAbgApADsAXABuAC8AKgAgAEUAeAB0AHIAYQBjAHQAcwAgAG4AdQBtAGIAZQByAHMAIABmAHIAbwBtACAAYQAgAHMAdAByAGkAbgBnACAAKgAvAFwAbgBlAHgAdAByAGEAYwB0AE4AdQBtAGIAZQByAHMAIAA9ACAATABBAE0AQgBEAEEAKAB0AHgAdAAsAFwAbgAgACAAIAAgAFQARQBYAFQASgBPAEkATgAoAFwAIgBcACIALAAsAFwAbgAgACAAIAAgACAAIAAgACAASQBGAEUAUgBSAE8AUgAoAFwAbgAgACAAIAAgACAAIAAgACAAIAAgACAAIABNAEkARAAoAHQAeAB0ACwAIABTAEUAUQBVAEUATgBDAEUAKABMAEUATgAoAHQAeAB0ACkAKQAsACAAMQApACAAKgAgADEALABcAG4AIAAgACAAIAAgACAAIAAgACAAIAAgACAAXAAiAFwAIgBcAG4AIAAgACAAIAAgACAAIAAgACkAXABuACAAIAAgACAAKQBcAG4AKQA7AFwAbgBuAG8AdABJAG4AVABlAHgAdAAgAD0AIABMAEEATQBCAEQAQQAoAFQAZQB4AHQATwByAFIAYQBuAGcAZQAsACAAQwBhAHMAZQBTAGUAbgBzAGkAdABpAHYAZQAsACAATQBvAGQAZQAsAFwAbgAgACAATABFAFQAKABcAG4AIAAgACAAIAB0AHgAdAAsACAAVABFAFgAVABKAE8ASQBOACgAXAAiAFwAIgAsACwAVABlAHgAdABPAHIAUgBhAG4AZwBlACkALABcAG4AIAAgACAAIABuACwAIABMAEUATgAoAHQAeAB0ACkALABcAG4AXABuACAAIAAgACAALwAqACAAcwBvAHUAcgBjAGUAIABzAGUAdABzACAAKgAvAFwAbgAgACAAIAAgAHUAcABwAGUAcgAsACAAXAAiAEEAQgBDAEQARQBGAEcASABJAEoASwBMAE0ATgBPAFAAUQBSAFMAVABVAFYAVwBYAFkAWgBcACIALABcAG4AIAAgACAAIABsAG8AdwBlAHIALAAgAFwAIgBhAGIAYwBkAGUAZgBnAGgAaQBqAGsAbABtAG4AbwBwAHEAcgBzAHQAdQB2AHcAeAB5AHoAXAAiACwAXABuACAAIAAgACAAZABpAGcAaQB0AHMALAAgAFwAIgAwADEAMgAzADQANQA2ADcAOAA5AFwAIgAsAFwAbgBcAG4AIAAgACAAIAAvACoAIABhAHIAcgBhAHkAcwAgAG8AZgAgAHMAaQBuAGcAbABlACAAYwBoAGEAcgBhAGMAdABlAHIAcwAgACoALwBcAG4AIAAgACAAIAB0AHgAdABBAHIAcgAsACAASQBGACgAbgAsACAATQBJAEQAKAB0AHgAdAAsACAAUwBFAFEAVQBFAE4AQwBFACgAbgApACwAIAAxACkALAAgAFwAIgBcACIAKQAsAFwAbgAgACAAIAAgAHQAeAB0AEEAcgByAFUAcABwAGUAcgAsACAASQBGACgAbgAsACAATQBJAEQAKABVAFAAUABFAFIAKAB0AHgAdAApACwAIABTAEUAUQBVAEUATgBDAEUAKABuACkALAAgADEAKQAsACAAXAAiAFwAIgApACwAXABuACAAIAAgACAAdQBwAHAAZQByAEEAcgByACwAIABNAEkARAAoAHUAcABwAGUAcgAsACAAUwBFAFEAVQBFAE4AQwBFACgATABFAE4AKAB1AHAAcABlAHIAKQApACwAIAAxACkALABcAG4AIAAgACAAIABsAG8AdwBlAHIAQQByAHIALAAgAE0ASQBEACgAbABvAHcAZQByACwAIABTAEUAUQBVAEUATgBDAEUAKABMAEUATgAoAGwAbwB3AGUAcgApACkALAAgADEAKQAsAFwAbgAgACAAIAAgAGQAaQBnAGkAdABzAEEAcgByACwAIABNAEkARAAoAGQAaQBnAGkAdABzACwAIABTAEUAUQBVAEUATgBDAEUAKABMAEUATgAoAGQAaQBnAGkAdABzACkAKQAsACAAMQApACwAXABuAFwAbgAgACAAIAAgAC8AKgAgAG0AaQBzAHMAaQBuAGcAIABuAHUAbQBiAGUAcgBzACAAKABzAGkAbQBwAGwAZQAsACAAYwBhAHMAZQAgAGkAcgByAGUAbABlAHYAYQBuAHQAKQAgACoALwBcAG4AIAAgACAAIABtAGkAcwBzAGkAbgBnAE4AdQBtAGIAZQByAHMALAAgAEkARgBFAFIAUgBPAFIAKABUAEUAWABUAEoATwBJAE4AKABcACIAXAAiACwALABGAEkATABUAEUAUgAoAGQAaQBnAGkAdABzAEEAcgByACwAIABJAFMATgBBACgATQBBAFQAQwBIACgAZABpAGcAaQB0AHMAQQByAHIALAAgAHQAeAB0AEEAcgByACwAIAAwACkAKQApACkALAAgAFwAIgBcACIAKQAsAFwAbgBcAG4AIAAgACAAIAAvACoAIABjAGEAcwBlAC0AaQBuAHMAZQBuAHMAaQB0AGkAdgBlACAAbABlAHQAdABlAHIAcwAgAG0AaQBzAHMAaQBuAGcAIAAoAE0AbwBkAGUAPQAwACwAIABDAGEAcwBlAFMAZQBuAHMAaQB0AGkAdgBlAD0AMAApACAAKgAvAFwAbgAgACAAIAAgAG0AaQBzAHMAaQBuAGcAQwBJACwAIABJAEYARQBSAFIATwBSACgAVABFAFgAVABKAE8ASQBOACgAXAAiAFwAIgAsACwARgBJAEwAVABFAFIAKAB1AHAAcABlAHIAQQByAHIALAAgAEkAUwBOAEEAKABNAEEAVABDAEgAKAB1AHAAcABlAHIAQQByAHIALAAgAHQAeAB0AEEAcgByAFUAcABwAGUAcgAsACAAMAApACkAKQApACwAIABcACIAXAAiACkALABcAG4AXABuACAAIAAgACAALwAqACAAYwBhAHMAZQAtAHMAZQBuAHMAaQB0AGkAdgBlACAAcAByAGUAcwBlAG4AYwBlACAAYwBoAGUAYwBrAHMAIAB1AHMAaQBuAGcAIABFAFgAQQBDAFQAKAApACAALQA+ACAAdABoAGUAbgAgAGIAdQBpAGwAZAAgAG0AaQBzAHMAaQBuAGcAIABVAC8ATAAgACoALwBcAG4AIAAgACAAIABwAHIAZQBzAGUAbgB0AFUAcABwAGUAcgBfAEMAUwAsACAATQBBAFAAKAB1AHAAcABlAHIAQQByAHIALAAgAEwAQQBNAEIARABBACgAYwBoACwAIABTAFUATQAoAC0ALQBFAFgAQQBDAFQAKABjAGgALAAgAHQAeAB0AEEAcgByACkAKQA+ADAAKQApACwAXABuACAAIAAgACAAcAByAGUAcwBlAG4AdABMAG8AdwBlAHIAXwBDAFMALAAgAE0AQQBQACgAbABvAHcAZQByAEEAcgByACwAIABMAEEATQBCAEQAQQAoAGMAaAAsACAAUwBVAE0AKAAtAC0ARQBYAEEAQwBUACgAYwBoACwAIAB0AHgAdABBAHIAcgApACkAPgAwACkAKQAsAFwAbgAgACAAIAAgAG0AaQBzAHMAaQBuAGcAVQBwAHAAZQByACwAIABJAEYARQBSAFIATwBSACgAVABFAFgAVABKAE8ASQBOACgAXAAiAFwAIgAsACwARgBJAEwAVABFAFIAKAB1AHAAcABlAHIAQQByAHIALAAgAE4ATwBUACgAcAByAGUAcwBlAG4AdABVAHAAcABlAHIAXwBDAFMAKQApACkALAAgAFwAIgBcACIAKQAsAFwAbgAgACAAIAAgAG0AaQBzAHMAaQBuAGcATABvAHcAZQByACwAIABJAEYARQBSAFIATwBSACgAVABFAFgAVABKAE8ASQBOACgAXAAiAFwAIgAsACwARgBJAEwAVABFAFIAKABsAG8AdwBlAHIAQQByAHIALAAgAE4ATwBUACgAcAByAGUAcwBlAG4AdABMAG8AdwBlAHIAXwBDAFMAKQApACkALAAgAFwAIgBcACIAKQAsAFwAbgBcAG4AIAAgACAAIAAvACoAIABmAGkAbgBhAGwAIAByAGUAcwB1AGwAdAAgAHIAbwB1AHQAaQBuAGcAIAAqAC8AXABuACAAIAAgACAASQBGACgATQBvAGQAZQA9ADEALABcAG4AIAAgACAAIAAgACAAIABtAGkAcwBzAGkAbgBnAE4AdQBtAGIAZQByAHMALABcAG4AIAAgACAAIAAgACAAIABJAEYAKABDAGEAcwBlAFMAZQBuAHMAaQB0AGkAdgBlAD0AMQAsAFwAbgAgACAAIAAgACAAIAAgACAAIAAgAFYAUwBUAEEAQwBLACgAbQBpAHMAcwBpAG4AZwBVAHAAcABlAHIALAAgAG0AaQBzAHMAaQBuAGcATABvAHcAZQByACkALABcAG4AIAAgACAAIAAgACAAIAAgACAAIABtAGkAcwBzAGkAbgBnAEMASQBcAG4AIAAgACAAIAAgACAAIAApAFwAbgAgACAAIAAgACkAXABuACAAIAApAFwAbgApADsAXABuAFwAbgBtAGkAcwBzAGkAbgBnAE4AdQBtAGIAZQByAHMAIAA9ACAATABBAE0AQgBEAEEAKABJAG4AcAB1AHQAQQByAHIAYQB5ACwAIABNAGEAeABOAHUAbQAsAFwAbgAgACAATABFAFQAKABcAG4AIAAgACAAIABmAHUAbABsAFMAZQB0ACwAIABTAEUAUQBVAEUATgBDAEUAKABNAGEAeABOAHUAbQApACwAIAAgACAAIAAgACAAIAAgACAAIAAgACAAIAAgACAAIAAgACAAIAAgACAAIAAgACAAIAAgACAALwAqACAAZgB1AGwAbAAgAGwAaQBzAHQAIABmAHIAbwBtACAAMQAgAHQAbwAgAE0AYQB4AE4AdQBtACAAKgAvAFwAbgAgACAAIAAgAG0AaQBzAHMAaQBuAGcALAAgAEYASQBMAFQARQBSACgAZgB1AGwAbABTAGUAdAAsACAASQBTAE4AQQAoAE0AQQBUAEMASAAoAGYAdQBsAGwAUwBlAHQALAAgAEkAbgBwAHUAdABBAHIAcgBhAHkALAAgADAAKQApACkALABcAG4AIAAgACAAIABtAGkAcwBzAGkAbgBnAFwAbgAgACAAKQBcAG4AKQA7AFwAbgBcAG4AYwBvAHUAbgB0AE8AZABkACAAPQAgAEwAQQBNAEIARABBACgAYQByAHIALAAgAFMAVQBNACgALQAtAEkAUwBPAEQARAAoACsAYQByAHIAKQApACkAOwBcAG4AXABuAGMAbwB1AG4AdABFAHYAZQBuACAAPQAgAEwAQQBNAEIARABBACgAYQByAHIALAAgAFMAVQBNACgALQAtAEkAUwBFAFYARQBOACgAKwBhAHIAcgApACkAKQA7AFwAbgBcAG4AcwB1AG0ATwBkAGQAIAA9ACAATABBAE0AQgBEAEEAKABhAHIAcgAsACAAUwBVAE0AKABJAEYAKABJAFMATwBEAEQAKAArAGEAcgByACkALAAgACsAYQByAHIALAAgADAAKQApACkAOwBcAG4AXABuAHMAdQBtAEUAdgBlAG4AIAA9ACAATABBAE0AQgBEAEEAKABhAHIAcgAsACAAUwBVAE0AKABJAEYAKABJAFMARQBWAEUATgAoACsAYQByAHIAKQAsACAAKwBhAHIAcgAsACAAMAApACkAKQA7AFwAbgBcAG4AcgBlAG0AbwB2AGUAQgBsAGEAbgBrAHMAIAA9ACAATABBAE0AQgBEAEEAKABhAHIAcgBhAHkALABbAHIAZQBtAG8AdgBlAF8AcgBvAHcAcwBdACwAWwByAGUAbQBvAHYAZQBfAGMAbwBsAHUAbQBuAHMAXQAsACAATABFAFQAKABcAG4AIAAgACAAXABcAFwAXABMAGEAbQBiAGQAYQBOAGEAbQBlACwAIABcACIAUgBFAE0ATwBWAEUAQgBMAEEATgBLAFMAXAAiACwAXABuACAAIAAgAFwAXABcAFwAQwBvAG0AbQBhAG4AZABOAGEAbQBlACwAIABcACIAUgBlAG0AbwB2AGUAIABCAGwAYQBuAGsAcwBcACIALABcAG4AIAAgACAAXABcAFwAXABEAGUAcwBjAHIAaQBwAHQAaQBvAG4ALAAgAFwAIgBSAGUAbQBvAHYAZQAgAGEAbABsACAAYgBsAGEAbgBrACAAcgBvAHcAcwAgAGEAbgBkACAAYwBvAGwAdQBtAG4AcwAuAFwAIgAsAFwAbgAgACAAIABcAFwAXABcAFAAYQByAGEAbQBlAHQAZQByAHMALAAgAHsAXAAiAGEAcgByAGEAeQBcACIALABcACIAYQByAHIAYQB5ACAAbwBmACAAdgBhAGwAdQBlAHMAIAB0AG8AIABlAHYAYQBsAHUAYQB0AGUAIABmAG8AcgAgAGIAbABhAG4AawAgAHIAbwB3AHMAIABhAG4AZAAgAGMAbwBsAHUAbQBuAHMAXAAiAH0ALABcAG4AIAAgACAAXABcAFwAXABTAG8AdQByAGMAZQAsACAAXAAiAEUAeABjAGUAbAAgAFIAbwBiAG8AdABcACIALABcAG4AIAAgACAAXwBOAG8AbgBCAGwAYQBuAGsAcwAsACAAKAAtAC0ASQBTAEIATABBAE4ASwAoAGEAcgByAGEAeQApACAAKwAgACgAYQByAHIAYQB5ACAAPQAgAFwAIgBcACIAKQApACAAPQAgADAALABcAG4AIAAgACAAXwBOAG8AbgBCAGwAYQBuAGsAQwBvAGwAdQBtAG4AcwAsACAARgBJAEwAVABFAFIAKABcAG4AIAAgACAAIAAgACAAUwBFAFEAVQBFAE4AQwBFACgAMQAsACAAQwBPAEwAVQBNAE4AUwAoAF8ATgBvAG4AQgBsAGEAbgBrAHMAKQApACwAXABuACAAIAAgACAAIAAgACgAQgBZAEMATwBMACgALQAtAF8ATgBvAG4AQgBsAGEAbgBrAHMALAAgAEwAQQBNAEIARABBACgAeAAsACAAUwBVAE0AKAB4ACkAKQApACAAPAA+ACAAMAApAFwAbgAgACAAIAAgACAAIAAgACAAIAArACAASQBGACgASQBTAE8ATQBJAFQAVABFAEQAKAByAGUAbQBvAHYAZQBfAGMAbwBsAHUAbQBuAHMAKQAsACAAMAAsACAAMQAgAC0AIAByAGUAbQBvAHYAZQBfAGMAbwBsAHUAbQBuAHMAKQBcAG4AIAAgACAAKQAsAFwAbgAgACAAIABfAE4AbwBuAEIAbABhAG4AawBSAG8AdwBzACwAIABGAEkATABUAEUAUgAoAFwAbgAgACAAIAAgACAAIABTAEUAUQBVAEUATgBDAEUAKABSAE8AVwBTACgAXwBOAG8AbgBCAGwAYQBuAGsAcwApACkALABcAG4AIAAgACAAIAAgACAAKABCAFkAUgBPAFcAKAAtAC0AXwBOAG8AbgBCAGwAYQBuAGsAcwAsACAATABBAE0AQgBEAEEAKAB4ACwAIABTAFUATQAoAHgAKQApACkAIAA8AD4AIAAwACkAIAArACAASQBGACgASQBTAE8ATQBJAFQAVABFAEQAKAByAGUAbQBvAHYAZQBfAHIAbwB3AHMAKQAsACAAMAAsACAAMQAgAC0AIAByAGUAbQBvAHYAZQBfAHIAbwB3AHMAKQBcAG4AIAAgACAAKQAsAFwAbgAgACAAIABfAFIAZQBzAHUAbAB0ACwAIABDAEgATwBPAFMARQBSAE8AVwBTACgAQwBIAE8ATwBTAEUAQwBPAEwAUwAoAEkARgAoAGEAcgByAGEAeQAgAD0AIABcACIAXAAiACwAIABcACIAXAAiACwAIABhAHIAcgBhAHkAKQAsACAAXwBOAG8AbgBCAGwAYQBuAGsAQwBvAGwAdQBtAG4AcwApACwAIABfAE4AbwBuAEIAbABhAG4AawBSAG8AdwBzACkALABcAG4AIAAgACAAXwBSAGUAcwB1AGwAdABcAG4AKQApADsAXABuAFwAbgByAGUAbQBvAHYAZQBDAG8AbABzACAAPQAgAEwAQQBNAEIARABBACgAYQByAHIAYQB5ACwAYwBvAGwAdQBtAG4AXwBpAG4AZABlAHgAZQBzACwAIABMAEUAVAAoAFwAbgAgACAAIABcAFwAXABcAEwAYQBtAGIAZABhAE4AYQBtAGUALAAgAFwAIgBSAGUAbQBvAHYAZQBDAG8AbABzAFwAIgAsAFwAbgAgACAAIABcAFwAXABcAEMAbwBtAG0AYQBuAGQATgBhAG0AZQAsACAAXAAiAFIAZQBtAG8AdgBlACAAQwBvAGwAdQBtAG4AcwAgAE8AZgAgAEEAcgByAGEAeQBcACIALABcAG4AIAAgACAAXABcAFwAXABEAGUAcwBjAHIAaQBwAHQAaQBvAG4ALAAgAFwAIgBSAGUAbQBvAHYAZQBzACAAcwBwAGUAYwBpAGYAaQBlAGQAIABjAG8AbAB1AG0AbgBzACAAbwBmACAAYQByAHIAYQB5ACAAdQBzAGkAbgBnACAAUgBlAG0AbwB2AGUAQwBvAGwAcwAgAGwAYQBtAGIAZABhAC4AXAAiACwAXABuACAAIAAgAF8AUwBlAHEALAAgAFMARQBRAFUARQBOAEMARQAoAEMATwBMAFUATQBOAFMAKABhAHIAcgBhAHkAKQApACwAXABuACAAIAAgAF8ASwBlAGUAcAAsACAASQBTAEUAUgBSAE8AUgAoAE0AQQBUAEMASAAoAF8AUwBlAHEALAAgAFQATwBSAE8AVwAoAGMAbwBsAHUAbQBuAF8AaQBuAGQAZQB4AGUAcwApACwAIAAwACkAKQAsAFwAbgAgACAAIABfAEkAbgBjAGwAdQBkAGUAZAAsACAARgBJAEwAVABFAFIAKABfAFMAZQBxACwAIABfAEsAZQBlAHAALAAgAFQAUgBVAEUAKQAsAFwAbgAgACAAIABfAFIAZQBzAHUAbAB0ACwAIABDAEgATwBPAFMARQBDAE8ATABTACgAYQByAHIAYQB5ACwAIABfAEkAbgBjAGwAdQBkAGUAZAApACwAXABuACAAIAAgAF8AUgBlAHMAdQBsAHQAXABuACkAKQA7AFwAbgBcAG4AcgBlAG0AbwB2AGUAUgBvAHcAcwAgAD0AIABMAEEATQBCAEQAQQAoAGEAcgByAGEAeQAsAHIAbwB3AF8AaQBuAGQAZQB4AGUAcwAsACAATABFAFQAKABcAG4AIAAgACAAXABcAFwAXABMAGEAbQBiAGQAYQBOAGEAbQBlACwAIABcACIAUgBlAG0AbwB2AGUAUgBvAHcAcwBcACIALABcAG4AIAAgACAAXABcAFwAXABDAG8AbQBtAGEAbgBkAE4AYQBtAGUALAAgAFwAIgBSAGUAbQBvAHYAZQAgAFIAbwB3AHMAIABPAGYAIABBAHIAcgBhAHkAXAAiACwAXABuACAAIAAgAFwAXABcAFwARABlAHMAYwByAGkAcAB0AGkAbwBuACwAIABcACIAUgBlAG0AbwB2AGUAcwAgAHMAcABlAGMAaQBmAGkAZQBkACAAcgBvAHcAcwAgAG8AZgAgAGEAcgByAGEAeQAgAHUAcwBpAG4AZwAgAFIAZQBtAG8AdgBlAFIAbwB3AHMAIABsAGEAbQBiAGQAYQAuAFwAIgAsAFwAbgAgACAAIABfAFMAZQBxACwAIABTAEUAUQBVAEUATgBDAEUAKABSAE8AVwBTACgAYQByAHIAYQB5ACkAKQAsAFwAbgAgACAAIABfAEsAZQBlAHAALAAgAEkAUwBFAFIAUgBPAFIAKABNAEEAVABDAEgAKABfAFMAZQBxACwAIABUAE8AUgBPAFcAKAByAG8AdwBfAGkAbgBkAGUAeABlAHMAKQAsACAAMAApACkALABcAG4AIAAgACAAXwBJAG4AYwBsAHUAZABlAGQALAAgAEYASQBMAFQARQBSACgAXwBTAGUAcQAsACAAXwBLAGUAZQBwACwAIABUAFIAVQBFACkALABcAG4AIAAgACAAXwBSAGUAcwB1AGwAdAAsACAAQwBIAE8ATwBTAEUAUgBPAFcAUwAoAGEAcgByAGEAeQAsACAAXwBJAG4AYwBsAHUAZABlAGQAKQAsAFwAbgAgACAAIABfAFIAZQBzAHUAbAB0AFwAbgApACkAOwBcAG4AXABuAHIAZQB2AGUAcgBzAGUAQwBvAGwAdQBtAG4AcwAgAD0AIABMAEEATQBCAEQAQQAoAGEAcgByAGEAeQAsAEwARQBUACgAXABuACAAIAAgAFwAXABcAFwATABhAG0AYgBkAGEATgBhAG0AZQAsACAAXAAiAFIAZQB2AGUAcgBzAGUAQwBvAGwAdQBtAG4AcwBcACIALABcAG4AIAAgACAAXABcAFwAXABDAG8AbQBtAGEAbgBkAE4AYQBtAGUALAAgAFwAIgBSAGUAdgBlAHIAcwBlACAAQwBvAGwAdQBtAG4AcwBcACIALABcAG4AIAAgACAAXABcAFwAXABEAGUAcwBjAHIAaQBwAHQAaQBvAG4ALAAgAFwAIgBSAGUAdAB1AHIAbgBzACAAYQBuACAAYQByAHIAYQB5ACAAaQBuACAAcgBlAHYAZQByAHMAZQAgAGMAbwBsAHUAbQBuACAAbwByAGQAZQByAC4AXAAiACwAXABuAFMATwBSAFQAQgBZACgAYQByAHIAYQB5ACwAUwBFAFEAVQBFAE4AQwBFACgAMQAsAEMATwBMAFUATQBOAFMAKABhAHIAcgBhAHkAKQApACwALQAxACkAKQBcAG4AKQA7AFwAbgBcAG4AcgBlAHYAZQByAHMAZQBSAG8AdwBzACAAPQAgAEwAQQBNAEIARABBACgAYQByAHIAYQB5ACwATABFAFQAKABcAG4AIAAgACAAXABcAFwAXABMAGEAbQBiAGQAYQBOAGEAbQBlACwAIABcACIAUgBlAHYAZQByAHMAZQBSAG8AdwBzAFwAIgAsAFwAbgAgACAAIABcAFwAXABcAEMAbwBtAG0AYQBuAGQATgBhAG0AZQAsACAAXAAiAFIAZQB2AGUAcgBzAGUAIABSAG8AdwBzAFwAIgAsAFwAbgAgACAAIABcAFwAXABcAEQAZQBzAGMAcgBpAHAAdABpAG8AbgAsACAAXAAiAFIAZQB0AHUAcgBuAHMAIABhAHIAcgBhAHkAIABpAG4AIAByAGUAdgBlAHIAcwBlACAAcgBvAHcAIABvAHIAZABlAHIALgBcACIALABcAG4AUwBPAFIAVABCAFkAKABhAHIAcgBhAHkALABTAEUAUQBVAEUATgBDAEUAKABSAE8AVwBTACgAYQByAHIAYQB5ACkAKQAsAC0AMQApACkAXABuACkAOwBcAG4AXABuAHUAbgBwAGkAdgBvAHQAIAA9ACAATABBAE0AQgBEAEEAKAB0AGEAYgBsAGUALABbAGMAbwBsAHUAbQBuAHMAXwB0AG8AXwB1AG4AcABpAHYAbwB0AF0ALABbAGEAdAB0AHIAaQBiAHUAdABlAF8AbgBhAG0AZQBdACwAWwB2AGEAbAB1AGUAXwBuAGEAbQBlAF0ALABbAHIAZQBtAG8AdgBlAF8AYgBsAGEAbgBrAHMAXQAsACAATABFAFQAKABcAG4AIAAgACAAXwBDAG8AbAB1AG0AbgBzAFQAbwBVAG4AcABpAHYAbwB0ACwAIABJAEYAKABcAG4AIAAgACAAIAAgACAASQBTAE8ATQBJAFQAVABFAEQAKABjAG8AbAB1AG0AbgBzAF8AdABvAF8AdQBuAHAAaQB2AG8AdAApACwAXABuACAAIAAgACAAIAAgAEQAUgBPAFAAKABUAEEASwBFACgAdABhAGIAbABlACwAIAAxACkALAAgACwAIAAxACkALABcAG4AIAAgACAAIAAgACAAYwBvAGwAdQBtAG4AcwBfAHQAbwBfAHUAbgBwAGkAdgBvAHQAXABuACAAIAAgACkALABcAG4AIAAgACAAXwBBAHQAdAByAGkAYgB1AHQAZQBMAGEAYgBlAGwALAAgAEkARgAoAEkAUwBPAE0ASQBUAFQARQBEACgAYQB0AHQAcgBpAGIAdQB0AGUAXwBuAGEAbQBlACkALAAgAFwAIgBBAHQAdAByAGkAYgB1AHQAZQBcACIALAAgAGEAdAB0AHIAaQBiAHUAdABlAF8AbgBhAG0AZQApACwAXABuACAAIAAgAF8AVgBhAGwAdQBlAEwAYQBiAGUAbAAsACAASQBGACgASQBTAE8ATQBJAFQAVABFAEQAKAB2AGEAbAB1AGUAXwBuAGEAbQBlACkALAAgAFwAIgBWAGEAbAB1AGUAXAAiACwAIAB2AGEAbAB1AGUAXwBuAGEAbQBlACkALABcAG4AIAAgACAAXwBGAGkAcgBzAHQAQwBvAGwAdQBtAG4AVABvAFUAbgBwAGkAdgBvAHQALAAgAE0AQQBUAEMASAAoAFwAbgAgACAAIAAgACAAIABJAE4ARABFAFgAKABfAEMAbwBsAHUAbQBuAHMAVABvAFUAbgBwAGkAdgBvAHQALAAgACwAIAAxACkALABcAG4AIAAgACAAIAAgACAASQBOAEQARQBYACgAdABhAGIAbABlACwAIAAxACwAIAApACwAXABuACAAIAAgACAAIAAgADAAXABuACAAIAAgACkALABcAG4AIAAgACAAXwBVAG4AcABpAHYAbwB0AEMAbwBsAHUAbQBuAEMAbwB1AG4AdAAsACAAQwBPAEwAVQBNAE4AUwAoAF8AQwBvAGwAdQBtAG4AcwBUAG8AVQBuAHAAaQB2AG8AdAApACwAXABuACAAIAAgAF8AQwBvAGwAdQBtAG4ATgB1AG0AYgBlAHIAcwAsACAAUwBFAFEAVQBFAE4AQwBFACgAMQAsACAAQwBPAEwAVQBNAE4AUwAoAHQAYQBiAGwAZQApACkALABcAG4AIAAgACAAXwBJAG4AYwBsAHUAZABlAEMAbwBsAHUAbQBuAHMALAAgACgAXwBDAG8AbAB1AG0AbgBOAHUAbQBiAGUAcgBzACAAPgA9ACAAXwBGAGkAcgBzAHQAQwBvAGwAdQBtAG4AVABvAFUAbgBwAGkAdgBvAHQAKQBcAG4AIAAgACAAIAAgACAAKgAgACgAXwBDAG8AbAB1AG0AbgBOAHUAbQBiAGUAcgBzACAAPAAgAF8ARgBpAHIAcwB0AEMAbwBsAHUAbQBuAFQAbwBVAG4AcABpAHYAbwB0ACAAKwAgAF8AVQBuAHAAaQB2AG8AdABDAG8AbAB1AG0AbgBDAG8AdQBuAHQAKQAsAFwAbgAgACAAIABfAFUAbgBwAGkAdgBvAHQAQwBvAGwAdQBtAG4AcwAsACAARgBJAEwAVABFAFIAKABfAEMAbwBsAHUAbQBuAE4AdQBtAGIAZQByAHMALAAgAF8ASQBuAGMAbAB1AGQAZQBDAG8AbAB1AG0AbgBzACkALABcAG4AIAAgACAAXwBPAHQAaABlAHIAQwBvAGwAdQBtAG4AcwAsACAARgBJAEwAVABFAFIAKABfAEMAbwBsAHUAbQBuAE4AdQBtAGIAZQByAHMALAAgAE4ATwBUACgAXwBJAG4AYwBsAHUAZABlAEMAbwBsAHUAbQBuAHMAKQApACwAXABuACAAIAAgAF8ARgB1AGwAbABPAHUAdABlAHIASgBvAGkAbgAsACAAQwByAG8AcwBzAEoAbwBpAG4AKABcAG4AIAAgACAAIAAgACAAQwBIAE8ATwBTAEUAQwBPAEwAUwAoAHQAYQBiAGwAZQAsACAAXwBPAHQAaABlAHIAQwBvAGwAdQBtAG4AcwApACwAXABuACAAIAAgACAAIAAgAFYAUwBUAEEAQwBLACgAXwBBAHQAdAByAGkAYgB1AHQAZQBMAGEAYgBlAGwALAAgAFQAUgBBAE4AUwBQAE8AUwBFACgAXwBDAG8AbAB1AG0AbgBzAFQAbwBVAG4AcABpAHYAbwB0ACkAKQAsAFwAbgAgACAAIAAgACAAIABUAFIAVQBFAFwAbgAgACAAIAApACwAXABuACAAIAAgAF8AVwBpAHQAaABWAGEAbAB1AGUAcwAsACAASABTAFQAQQBDAEsAKABcAG4AIAAgACAAIAAgACAAXwBGAHUAbABsAE8AdQB0AGUAcgBKAG8AaQBuACwAXABuACAAIAAgACAAIAAgAFYAUwBUAEEAQwBLACgAXwBWAGEAbAB1AGUATABhAGIAZQBsACwAIABUAE8AQwBPAEwAKABEAFIATwBQACgAQwBIAE8ATwBTAEUAQwBPAEwAUwAoAHQAYQBiAGwAZQAsACAAXwBVAG4AcABpAHYAbwB0AEMAbwBsAHUAbQBuAHMAKQAsACAAMQApACkAKQBcAG4AIAAgACAAKQAsAFwAbgAgACAAIABfAFIAZQBtAG8AdgBlAEIAbABhAG4AawBzACwAIABJAEYAKABcAG4AIAAgACAAIAAgACAATwBSACgASQBTAE8ATQBJAFQAVABFAEQAKAByAGUAbQBvAHYAZQBfAGIAbABhAG4AawBzACkALAAgAHIAZQBtAG8AdgBlAF8AYgBsAGEAbgBrAHMAKQAsAFwAbgAgACAAIAAgACAAIABGAEkATABUAEUAUgAoAF8AVwBpAHQAaABWAGEAbAB1AGUAcwAsACAASQBOAEQARQBYACgAXwBXAGkAdABoAFYAYQBsAHUAZQBzACwAIAAsACAAQwBPAEwAVQBNAE4AUwAoAF8AVwBpAHQAaABWAGEAbAB1AGUAcwApACkAIAA8AD4AIABcACIAXAAiACkALABcAG4AIAAgACAAIAAgACAASQBGACgAXwBXAGkAdABoAFYAYQBsAHUAZQBzACAAPQAgAFwAIgBcACIALAAgAFwAIgBcACIALAAgAF8AVwBpAHQAaABWAGEAbAB1AGUAcwApAFwAbgAgACAAIAApACwAXABuACAAIAAgAF8AQwBvAGwAdQBtAG4ATwByAGQAZQByACwAIABMAEUAVAAoAFwAbgAgACAAIAAgACAAIABuACwAIABDAE8ATABVAE0ATgBTACgAXwBSAGUAbQBvAHYAZQBCAGwAYQBuAGsAcwApACwAXABuACAAIAAgACAAIAAgAHMALAAgAFMARQBRAFUARQBOAEMARQAoADEALAAgAG4AKQAsAFwAbgAgACAAIAAgACAAIABJAEYAUwAoAFwAbgAgACAAIAAgACAAIAAgACAAIABzACAAPAAgAF8ARgBpAHIAcwB0AEMAbwBsAHUAbQBuAFQAbwBVAG4AcABpAHYAbwB0ACwAXABuACAAIAAgACAAIAAgACAAIAAgAHMALABcAG4AIAAgACAAIAAgACAAIAAgACAAcwAgADwAIABfAEYAaQByAHMAdABDAG8AbAB1AG0AbgBUAG8AVQBuAHAAaQB2AG8AdAAgACsAIAAyACwAXABuACAAIAAgACAAIAAgACAAIAAgAHMAIAArACAAbgAgAC0AIABfAEYAaQByAHMAdABDAG8AbAB1AG0AbgBUAG8AVQBuAHAAaQB2AG8AdAAgAC0AIAAxACwAXABuACAAIAAgACAAIAAgACAAIAAgAFQAUgBVAEUALABcAG4AIAAgACAAIAAgACAAIAAgACAAcwAgAC0AIAAyAFwAbgAgACAAIAAgACAAIAApAFwAbgAgACAAIAApACwAXABuACAAIAAgAF8AUgBlAHMAdQBsAHQALAAgAEMASABPAE8AUwBFAEMATwBMAFMAKABfAFIAZQBtAG8AdgBlAEIAbABhAG4AawBzACwAIABfAEMAbwBsAHUAbQBuAE8AcgBkAGUAcgApACwAXABuACAAIAAgAF8AUgBlAHMAdQBsAHQAXABuACkAKQA7AFwAbgBcAG4AcwBwAGwAaQB0AE4AdQBtAGIAZQByAHMARgByAG8AbQBUAGUAeAB0ACAAPQAgAEwAQQBNAEIARABBACgAdABlAHgAdABfAHYAZQBjAHQAbwByACwAWwBpAGcAbgBvAHIAZQBfAGMAbwBtAG0AYQBzAF0ALAAgAEwARQBUACgAXABuACAAIAAgAFwAXABcAFwATABhAG0AYgBkAGEATgBhAG0AZQAsACAAXAAiAFMAcABsAGkAdABOAHUAbQBiAGUAcgBzAEYAcgBvAG0AVABlAHgAdABcACIALABcAG4AIAAgACAAZgBuAFMAcABsAGkAdAAsACAATABBAE0AQgBEAEEAKAB0AGUAeAB0ACwAWwBpAGcAbgBvAHIAZQBfAGMAbwBtAG0AYQBzAF0ALABbAHQAcgBhAG4AcwBwAG8AcwBlAF8AcgBlAHMAdQBsAHQAXQAsACAATABFAFQAKABcAG4AIAAgACAAIAAgACAAXwBjAGgAYQByAHMALAAgAE0ASQBEACgAdABlAHgAdAAsACAAUwBFAFEAVQBFAE4AQwBFACgATABFAE4AKAB0AGUAeAB0ACkAKQAsACAAMQApACwAXABuACAAIAAgACAAIAAgAF8AaQBzAE4AdQBtAGIAZQByACwAIABMAEUAVAAoAFwAbgAgACAAIAAgACAAIAAgACAAIABjAG8AZABlAHMALAAgAEMATwBEAEUAKABfAGMAaABhAHIAcwApACwAXABuACAAIAAgACAAIAAgACAAIAAgAHAAcgBpAG8AcgBDAG8AZABlAHMALAAgAFYAUwBUAEEAQwBLACgAXAAiAFwAIgAsACAARABSAE8AUAAoAGMAbwBkAGUAcwAsACAALQAxACkAKQAsAFwAbgAgACAAIAAgACAAIAAgACAAIABuAGUAeAB0AEMAbwBkAGUAcwAsACAAVgBTAFQAQQBDAEsAKABEAFIATwBQACgAYwBvAGQAZQBzACwAIAAxACkALAAgAFwAIgBcACIAKQAsAFwAbgAgACAAIAAgACAAIAAgACAAIABmAG4ASQBzAEQAaQBnAGkAdAAsACAATABBAE0AQgBEAEEAKAB4ACwAIAAoAHgAIAA+AD0AIABDAE8ARABFACgAXAAiADAAXAAiACkAKQAgACoAIAAoAHgAIAA8AD0AIABDAE8ARABFACgAXAAiADkAXAAiACkAKQAgAD0AIAAxACkALABcAG4AIAAgACAAIAAgACAAIAAgACAASQBzAFAAZQByAGkAbwBkACwAIABjAG8AZABlAHMAIAA9ACAAQwBPAEQARQAoAFwAIgAuAFwAIgApACwAXABuACAAIAAgACAAIAAgACAAIAAgAEkAcwBDAG8AbQBtAGEALAAgACgAYwBvAGQAZQBzACAAPQAgAEMATwBEAEUAKABcACIALABcACIAKQApACAAKgAgACgAKABJAFMATwBNAEkAVABUAEUARAAoAGkAZwBuAG8AcgBlAF8AYwBvAG0AbQBhAHMAKQAgACsAIAAoAGkAZwBuAG8AcgBlAF8AYwBvAG0AbQBhAHMAIAA9ACAARgBBAEwAUwBFACkAKQApACAAPAA+ACAAMAAsAFwAbgAgACAAIAAgACAAIAAgACAAIABmAG4ASQBzAEQAaQBnAGkAdAAoAGMAbwBkAGUAcwApACAAKwAgACgASQBzAFAAZQByAGkAbwBkACAAKwAgAEkAcwBDAG8AbQBtAGEAKQAgACoAIABmAG4ASQBzAEQAaQBnAGkAdAAoAHAAcgBpAG8AcgBDAG8AZABlAHMAKQAgACoAIABmAG4ASQBzAEQAaQBnAGkAdAAoAG4AZQB4AHQAQwBvAGQAZQBzACkAXABuACAAIAAgACAAIAAgACkALABcAG4AIAAgACAAIAAgACAAXwBmAGwAaQBwACwAIABWAFMAVABBAEMASwAoAEQAUgBPAFAAKABfAGkAcwBOAHUAbQBiAGUAcgAsACAAMQApACAAPAA+ACAARABSAE8AUAAoAF8AaQBzAE4AdQBtAGIAZQByACwAIAAtADEAKQAsACAARgBBAEwAUwBFACkALABcAG4AIAAgACAAIAAgACAAXwBhAGQAZABEAGUAbABpAG0AaQB0AGUAcgAsACAAXwBjAGgAYQByAHMAIAAmACAASQBGACgAXwBmAGwAaQBwACwAIABcACIAISBcACIALAAgAFwAIgBcACIAKQAsAFwAbgAgACAAIAAgACAAIABfAHMAcABsAGkAdAAsACAAVABFAFgAVABTAFAATABJAFQAKABDAE8ATgBDAEEAVAAoAF8AYQBkAGQARABlAGwAaQBtAGkAdABlAHIAKQAsACAAXAAiACEgXAAiACkALABcAG4AIAAgACAAIAAgACAAXwB0AG8ATgB1AG0AYgBlAHIAcwAsACAASQBGAEUAUgBSAE8AUgAoAC0ALQBfAHMAcABsAGkAdAAsACAAXwBzAHAAbABpAHQAKQAsAFwAbgAgACAAIAAgACAAIABfAHIAZQBzAHUAbAB0ACwAIABJAEYAKAB0AHIAYQBuAHMAcABvAHMAZQBfAHIAZQBzAHUAbAB0ACwAIABUAFIAQQBOAFMAUABPAFMARQAoAF8AdABvAE4AdQBtAGIAZQByAHMAKQAsACAAXwB0AG8ATgB1AG0AYgBlAHIAcwApACwAXABuACAAIAAgACAAIAAgAF8AcgBlAHMAdQBsAHQAXABuACAAIAAgACkAKQAsAFwAbgAgACAAIABfAFQAcgBhAG4AcwBwAG8AcwBlACwAIABDAE8ATABVAE0ATgBTACgAdABlAHgAdABfAHYAZQBjAHQAbwByACkAIAA8AD4AIAAxACwAXABuACAAIAAgAF8ASQBzAEEAcgByAGEAeQAsACAAVABZAFAARQAoAHQAZQB4AHQAXwB2AGUAYwB0AG8AcgApACAAPQAgADYANAAsAFwAbgAgACAAIABfAFIAZQBzAHUAbAB0ACwAIABJAEYAKABcAG4AIAAgACAAIAAgACAAXwBJAHMAQQByAHIAYQB5ACwAXABuACAAIAAgACAAIAAgAEkARgBOAEEAKABUAGkAbABlACgAdABlAHgAdABfAHYAZQBjAHQAbwByACwAIABMAEEATQBCAEQAQQAoAHgALAAgAGYAbgBTAHAAbABpAHQAKAB4ACwAIABpAGcAbgBvAHIAZQBfAGMAbwBtAG0AYQBzACwAIABfAFQAcgBhAG4AcwBwAG8AcwBlACkAKQApACwAIABcACIAXAAiACkALABcAG4AIAAgACAAIAAgACAAZgBuAFMAcABsAGkAdAAoAHQAZQB4AHQAXwB2AGUAYwB0AG8AcgAsACAAaQBnAG4AbwByAGUAXwBjAG8AbQBtAGEAcwAsACAARgBBAEwAUwBFACkAXABuACAAIAAgACkALABcAG4AIAAgACAAXwBSAGUAcwB1AGwAdABcAG4AKQApADsAXABuAFwAbgBmAGkAbABsAEYAcgBvAG0AQQBiAG8AdgBlACAAPQAgAEwAQQBNAEIARABBACgAYQByAHIAYQB5ACwAWwBjAHIAaQB0AGUAcgBpAGEAXQAsACAATABFAFQAKABcAG4AIAAgACAAXABcAFwAXABMAGEAbQBiAGQAYQBOAGEAbQBlACwAIABcACIARgBpAGwAbABGAHIAbwBtAEEAYgBvAHYAZQBcACIALABcAG4AIAAgACAAZgBuAEMAcgBpAHQAZQByAGkAYQAsACAASQBGACgASQBTAE8ATQBJAFQAVABFAEQAKABjAHIAaQB0AGUAcgBpAGEAKQAsACAATABBAE0AQgBEAEEAKAB4ACwAIAB4ACAAPQAgAFwAIgBcACIAKQAsACAAYwByAGkAdABlAHIAaQBhACkALABcAG4AIAAgACAAXwBjAG8AbABzACwAIABTAEUAUQBVAEUATgBDAEUAKAAxACwAIABDAE8ATABVAE0ATgBTACgAYQByAHIAYQB5ACkAKQAsAFwAbgAgACAAIABfAHIAbwB3AHMALAAgAFMARQBRAFUARQBOAEMARQAoAFIATwBXAFMAKABhAHIAcgBhAHkAKQApACwAXABuACAAIAAgAGYAbgBJAGYAQgBsAGEAbgBrACwAIABMAEEATQBCAEQAQQAoAHgALAAgAEkARgAoAHgAIAA9ACAAXAAiAFwAIgAsACAAXAAiAFwAIgAsACAAeAApACkALABcAG4AIAAgACAAZgBuAEYAaQBsAGwALAAgAEwAQQBNAEIARABBACgAdgBlAGMAdABvAHIALABcAG4AIAAgACAAIAAgACAAUwBDAEEATgAoAGYAbgBJAGYAQgBsAGEAbgBrACgASQBOAEQARQBYACgAdgBlAGMAdABvAHIALAAgADEALAAgADEAKQApACwAIAB2AGUAYwB0AG8AcgAsACAATABBAE0AQgBEAEEAKABzACwAeAAsACAASQBGACgAZgBuAEMAcgBpAHQAZQByAGkAYQAoAHgAKQAsACAAcwAsACAAeAApACkAKQBcAG4AIAAgACAAKQAsAFwAbgAgACAAIABUAGkAbABlACgAXwBjAG8AbABzACwAIABMAEEATQBCAEQAQQAoAG4ALAAgAGYAbgBGAGkAbABsACgASQBOAEQARQBYACgAYQByAHIAYQB5ACwAIABfAHIAbwB3AHMALAAgAG4AKQApACkAKQBcAG4AKQApADsAXABuAFwAbgBmAGkAbABsAEYAcgBvAG0AQgBlAGwAbwB3ACAAPQAgAEwAQQBNAEIARABBACgAYQByAHIAYQB5ACwAWwBjAHIAaQB0AGUAcgBpAGEAXQAsACAATABFAFQAKABcAG4AIAAgACAAXABcAFwAXABMAGEAbQBiAGQAYQBOAGEAbQBlACwAIABcACIARgBpAGwAbABGAHIAbwBtAEIAZQBsAG8AdwBcACIALABcAG4AIAAgACAAZgBuAEMAcgBpAHQAZQByAGkAYQAsACAASQBGACgASQBTAE8ATQBJAFQAVABFAEQAKABjAHIAaQB0AGUAcgBpAGEAKQAsACAATABBAE0AQgBEAEEAKAB4ACwAIAB4ACAAPQAgAFwAIgBcACIAKQAsACAAYwByAGkAdABlAHIAaQBhACkALABcAG4AIAAgACAAXwBjAG8AbABzACwAIABTAEUAUQBVAEUATgBDAEUAKAAxACwAIABDAE8ATABVAE0ATgBTACgAYQByAHIAYQB5ACkAKQAsAFwAbgAgACAAIABfAHIAbwB3AHMALAAgAFMARQBRAFUARQBOAEMARQAoAFIATwBXAFMAKABhAHIAcgBhAHkAKQApACwAXABuACAAIAAgAGYAbgBJAGYAQgBsAGEAbgBrACwAIABMAEEATQBCAEQAQQAoAHgALAAgAEkARgAoAHgAIAA9ACAAXAAiAFwAIgAsACAAXAAiAFwAIgAsACAAeAApACkALABcAG4AIAAgACAAZgBuAEYAaQBsAGwALAAgAEwAQQBNAEIARABBACgAdgBlAGMAdABvAHIALABcAG4AIAAgACAAIAAgACAAUwBDAEEATgAoAGYAbgBJAGYAQgBsAGEAbgBrACgASQBOAEQARQBYACgAdgBlAGMAdABvAHIALAAgADEALAAgADEAKQApACwAIAB2AGUAYwB0AG8AcgAsACAATABBAE0AQgBEAEEAKABzACwAeAAsACAASQBGACgAZgBuAEMAcgBpAHQAZQByAGkAYQAoAHgAKQAsACAAcwAsACAAeAApACkAKQBcAG4AIAAgACAAKQAsAFwAbgAgACAAIABmAG4AUgBlAHYAZQByAHMAZQAsACAATABBAE0AQgBEAEEAKAB2AGUAYwB0AG8AcgAsACAAUwBPAFIAVABCAFkAKAB2AGUAYwB0AG8AcgAsACAAXwByAG8AdwBzACwAIAAtADEAKQApACwAXABuACAAIAAgAFIAZQBzAHUAbAB0ACwAIABUAGkAbABlACgAXwBjAG8AbABzACwAIABMAEEATQBCAEQAQQAoAG4ALAAgAGYAbgBSAGUAdgBlAHIAcwBlACgAZgBuAEYAaQBsAGwAKABmAG4AUgBlAHYAZQByAHMAZQAoAEMASABPAE8AUwBFAEMATwBMAFMAKABhAHIAcgBhAHkALAAgAG4AKQApACkAKQApACkALABcAG4AIAAgACAAUgBlAHMAdQBsAHQAXABuACkAKQA7AFwAbgBcAG4AZgBpAGwAbABGAHIAbwBtAEwAZQBmAHQAIAA9ACAATABBAE0AQgBEAEEAKABhAHIAcgBhAHkALABbAGMAcgBpAHQAZQByAGkAYQBdACwAIABMAEUAVAAoAFwAbgAgACAAIABcAFwAXABcAEwAYQBtAGIAZABhAE4AYQBtAGUALAAgAFwAIgBGAGkAbABsAEYAcgBvAG0ATABlAGYAdABcACIALABcAG4AIAAgACAAZgBuAEMAcgBpAHQAZQByAGkAYQAsACAASQBGACgASQBTAE8ATQBJAFQAVABFAEQAKABjAHIAaQB0AGUAcgBpAGEAKQAsACAATABBAE0AQgBEAEEAKAB4ACwAIAB4ACAAPQAgAFwAIgBcACIAKQAsACAAYwByAGkAdABlAHIAaQBhACkALABcAG4AIAAgACAAXwBjAG8AbABzACwAIABTAEUAUQBVAEUATgBDAEUAKAAxACwAIABDAE8ATABVAE0ATgBTACgAYQByAHIAYQB5ACkAKQAsAFwAbgAgACAAIABfAHIAbwB3AHMALAAgAFMARQBRAFUARQBOAEMARQAoAFIATwBXAFMAKABhAHIAcgBhAHkAKQApACwAXABuACAAIAAgAGYAbgBJAGYAQgBsAGEAbgBrACwAIABMAEEATQBCAEQAQQAoAHgALAAgAEkARgAoAHgAIAA9ACAAXAAiAFwAIgAsACAAXAAiAFwAIgAsACAAeAApACkALABcAG4AIAAgACAAZgBuAEYAaQBsAGwALAAgAEwAQQBNAEIARABBACgAdgBlAGMAdABvAHIALABcAG4AIAAgACAAIAAgACAAUwBDAEEATgAoAGYAbgBJAGYAQgBsAGEAbgBrACgASQBOAEQARQBYACgAdgBlAGMAdABvAHIALAAgADEALAAgADEAKQApACwAIAB2AGUAYwB0AG8AcgAsACAATABBAE0AQgBEAEEAKABzACwAeAAsACAASQBGACgAZgBuAEMAcgBpAHQAZQByAGkAYQAoAHgAKQAsACAAcwAsACAAeAApACkAKQBcAG4AIAAgACAAKQAsAFwAbgAgACAAIABSAGUAcwB1AGwAdAAsACAAVABpAGwAZQAoAF8AcgBvAHcAcwAsACAATABBAE0AQgBEAEEAKABuACwAIABmAG4ARgBpAGwAbAAoAEMASABPAE8AUwBFAFIATwBXAFMAKABhAHIAcgBhAHkALAAgAG4AKQApACkAKQAsAFwAbgAgACAAIABSAGUAcwB1AGwAdABcAG4AKQApADsAXABuAFwAbgBmAGkAbABsAEYAcgBvAG0AUgBpAGcAaAB0ACAAPQAgAEwAQQBNAEIARABBACgAYQByAHIAYQB5ACwAWwBjAHIAaQB0AGUAcgBpAGEAXQAsACAATABFAFQAKABcAG4AIAAgACAAXABcAFwAXABMAGEAbQBiAGQAYQBOAGEAbQBlACwAIABcACIARgBpAGwAbABGAHIAbwBtAFIAaQBnAGgAdABcACIALABcAG4AIAAgACAAZgBuAEMAcgBpAHQAZQByAGkAYQAsACAASQBGACgASQBTAE8ATQBJAFQAVABFAEQAKABjAHIAaQB0AGUAcgBpAGEAKQAsACAATABBAE0AQgBEAEEAKAB4ACwAIAB4ACAAPQAgAFwAIgBcACIAKQAsACAAYwByAGkAdABlAHIAaQBhACkALABcAG4AIAAgACAAXwBjAG8AbABzACwAIABTAEUAUQBVAEUATgBDAEUAKAAxACwAIABDAE8ATABVAE0ATgBTACgAYQByAHIAYQB5ACkAKQAsAFwAbgAgACAAIABfAHIAbwB3AHMALAAgAFMARQBRAFUARQBOAEMARQAoAFIATwBXAFMAKABhAHIAcgBhAHkAKQApACwAXABuACAAIAAgAGYAbgBJAGYAQgBsAGEAbgBrACwAIABMAEEATQBCAEQAQQAoAHgALAAgAEkARgAoAHgAIAA9ACAAXAAiAFwAIgAsACAAXAAiAFwAIgAsACAAeAApACkALABcAG4AIAAgACAAZgBuAEYAaQBsAGwALAAgAEwAQQBNAEIARABBACgAdgBlAGMAdABvAHIALABcAG4AIAAgACAAIAAgACAAUwBDAEEATgAoAGYAbgBJAGYAQgBsAGEAbgBrACgASQBOAEQARQBYACgAdgBlAGMAdABvAHIALAAgADEALAAgADEAKQApACwAIAB2AGUAYwB0AG8AcgAsACAATABBAE0AQgBEAEEAKABzACwAeAAsACAASQBGACgAZgBuAEMAcgBpAHQAZQByAGkAYQAoAHgAKQAsACAAcwAsACAAeAApACkAKQBcAG4AIAAgACAAKQAsAFwAbgAgACAAIABmAG4AUgBlAHYAZQByAHMAZQAsACAATABBAE0AQgBEAEEAKAB2AGUAYwB0AG8AcgAsACAAUwBPAFIAVABCAFkAKAB2AGUAYwB0AG8AcgAsACAAXwBjAG8AbABzACwAIAAtADEAKQApACwAXABuACAAIAAgAFIAZQBzAHUAbAB0ACwAIABUAGkAbABlACgAXwByAG8AdwBzACwAIABMAEEATQBCAEQAQQAoAG4ALAAgAGYAbgBSAGUAdgBlAHIAcwBlACgAZgBuAEYAaQBsAGwAKABmAG4AUgBlAHYAZQByAHMAZQAoAEMASABPAE8AUwBFAFIATwBXAFMAKABhAHIAcgBhAHkALAAgAG4AKQApACkAKQApACkALABcAG4AIAAgACAAUgBlAHMAdQBsAHQAXABuACkAKQA7AFwAbgBcAG4AaQBmAEIAbABhAG4AawAgAD0AIABMAEEATQBCAEQAQQAoAGEAcgByAGEAeQAsAHYAYQBsAHUAZQBfAGkAZgBfAGIAbABhAG4AawAsAE0AQQBQACgAYQByAHIAYQB5ACwATABBAE0AQgBEAEEAKAB2AGEAbAAsAEkARgAoAEkAUwBCAEwAQQBOAEsAKAB2AGEAbAApACwAdgBhAGwAdQBlAF8AaQBmAF8AYgBsAGEAbgBrACwAdgBhAGwAKQApACkAKQA7AFwAbgBcAG4AcgBlAG0AbwB2AGUAQgBsAGEAbgBrAHMAIAA9ACAATABBAE0AQgBEAEEAKABhAHIAcgBhAHkALABbAHIAZQBtAG8AdgBlAF8AcgBvAHcAcwBdACwAWwByAGUAbQBvAHYAZQBfAGMAbwBsAHUAbQBuAHMAXQAsACAATABFAFQAKABcAG4AIAAgACAAXABcAFwAXABMAGEAbQBiAGQAYQBOAGEAbQBlACwAIABcACIAUgBFAE0ATwBWAEUAQgBMAEEATgBLAFMAXAAiACwAXABuACAAIAAgAFwAXABcAFwAQwBvAG0AbQBhAG4AZABOAGEAbQBlACwAIABcACIAUgBlAG0AbwB2AGUAIABCAGwAYQBuAGsAcwBcACIALABcAG4AIAAgACAAXABcAFwAXABEAGUAcwBjAHIAaQBwAHQAaQBvAG4ALAAgAFwAIgBSAGUAbQBvAHYAZQAgAGEAbABsACAAYgBsAGEAbgBrACAAcgBvAHcAcwAgAGEAbgBkACAAYwBvAGwAdQBtAG4AcwAuAFwAIgAsAFwAbgAgACAAIABcAFwAXABcAFAAYQByAGEAbQBlAHQAZQByAHMALAAgAHsAXAAiAGEAcgByAGEAeQBcACIALABcACIAYQByAHIAYQB5ACAAbwBmACAAdgBhAGwAdQBlAHMAIAB0AG8AIABlAHYAYQBsAHUAYQB0AGUAIABmAG8AcgAgAGIAbABhAG4AawAgAHIAbwB3AHMAIABhAG4AZAAgAGMAbwBsAHUAbQBuAHMAXAAiAH0ALABcAG4AIAAgACAAXABcAFwAXABTAG8AdQByAGMAZQAsACAAXAAiAEUAeABjAGUAbAAgAFIAbwBiAG8AdABcACIALABcAG4AIAAgACAAXwBOAG8AbgBCAGwAYQBuAGsAcwAsACAAKAAtAC0ASQBTAEIATABBAE4ASwAoAGEAcgByAGEAeQApACAAKwAgACgAYQByAHIAYQB5ACAAPQAgAFwAIgBcACIAKQApACAAPQAgADAALABcAG4AIAAgACAAXwBOAG8AbgBCAGwAYQBuAGsAQwBvAGwAdQBtAG4AcwAsACAARgBJAEwAVABFAFIAKABcAG4AIAAgACAAIAAgACAAUwBFAFEAVQBFAE4AQwBFACgAMQAsACAAQwBPAEwAVQBNAE4AUwAoAF8ATgBvAG4AQgBsAGEAbgBrAHMAKQApACwAXABuACAAIAAgACAAIAAgACgAQgBZAEMATwBMACgALQAtAF8ATgBvAG4AQgBsAGEAbgBrAHMALAAgAEwAQQBNAEIARABBACgAeAAsACAAUwBVAE0AKAB4ACkAKQApACAAPAA+ACAAMAApAFwAbgAgACAAIAAgACAAIAAgACAAIAArACAASQBGACgASQBTAE8ATQBJAFQAVABFAEQAKAByAGUAbQBvAHYAZQBfAGMAbwBsAHUAbQBuAHMAKQAsACAAMAAsACAAMQAgAC0AIAByAGUAbQBvAHYAZQBfAGMAbwBsAHUAbQBuAHMAKQBcAG4AIAAgACAAKQAsAFwAbgAgACAAIABfAE4AbwBuAEIAbABhAG4AawBSAG8AdwBzACwAIABGAEkATABUAEUAUgAoAFwAbgAgACAAIAAgACAAIABTAEUAUQBVAEUATgBDAEUAKABSAE8AVwBTACgAXwBOAG8AbgBCAGwAYQBuAGsAcwApACkALABcAG4AIAAgACAAIAAgACAAKABCAFkAUgBPAFcAKAAtAC0AXwBOAG8AbgBCAGwAYQBuAGsAcwAsACAATABBAE0AQgBEAEEAKAB4ACwAIABTAFUATQAoAHgAKQApACkAIAA8AD4AIAAwACkAIAArACAASQBGACgASQBTAE8ATQBJAFQAVABFAEQAKAByAGUAbQBvAHYAZQBfAHIAbwB3AHMAKQAsACAAMAAsACAAMQAgAC0AIAByAGUAbQBvAHYAZQBfAHIAbwB3AHMAKQBcAG4AIAAgACAAKQAsAFwAbgAgACAAIABfAFIAZQBzAHUAbAB0ACwAIABDAEgATwBPAFMARQBSAE8AVwBTACgAQwBIAE8ATwBTAEUAQwBPAEwAUwAoAEkARgAoAGEAcgByAGEAeQAgAD0AIABcACIAXAAiACwAIABcACIAXAAiACwAIABhAHIAcgBhAHkAKQAsACAAXwBOAG8AbgBCAGwAYQBuAGsAQwBvAGwAdQBtAG4AcwApACwAIABfAE4AbwBuAEIAbABhAG4AawBSAG8AdwBzACkALABcAG4AIAAgACAAXwBSAGUAcwB1AGwAdABcAG4AKQApADsAXABuAFwAbgByAHUAbgBuAGkAbgBnAFAAcgBvAGQAdQBjAHQAIAA9ACAATABBAE0AQgBEAEEAKABhAHIAcgBhAHkALABMAEUAVAAoAFwAbgAgACAAIABcAFwAXABcAEwAYQBtAGIAZABhAE4AYQBtAGUALAAgAFwAIgBSAHUAbgBuAGkAbgBnAFAAcgBvAGQAdQBjAHQAXAAiACwAXABuACAAIAAgAFwAXABcAFwAQwBvAG0AbQBhAG4AZABOAGEAbQBlACwAIABcACIAUgB1AG4AbgBpAG4AZwAgAFAAcgBvAGQAdQBjAHQAXAAiACwAXABuACAAIAAgAFwAXABcAFwARABlAHMAYwByAGkAcAB0AGkAbwBuACwAIABcACIAUgBlAHQAdQByAG4AcwAgAHYAZQBjAHQAbwByACAAbwBmACAAcgB1AG4AbgBpAG4AZwAgAHAAcgBvAGQAdQBjAHQALgBcACIALABcAG4AIAAgACAAcgBlAHMALAAgAFMAQwBBAE4AKAAxACwAYQByAHIAYQB5ACwATABBAE0AQgBEAEEAKABzACwAYQAsAHMAKgBhACkAKQAsAFwAbgAgACAAIAByAGUAcwBcAG4AKQAgACkAOwBcAG4AXABuAHIAdQBuAG4AaQBuAGcAVABvAHQAYQBsAHMAQgB5AEMAbwBsAHUAbQBuACAAPQAgAEwAQQBNAEIARABBACgAYQByAHIAYQB5ACwATABFAFQAKAAgACAAIAAgAFwAXABcAFwATABhAG0AYgBkAGEATgBhAG0AZQAsACAAXAAiAFIAdQBuAG4AaQBuAGcAVABvAHQAYQBsAHMAQgB5AEMAbwBsAHUAbQBuAFwAIgAsACAAUgBlAHMAdQBsAHQALAAgAE0AQQBLAEUAQQBSAFIAQQBZACgAUgBPAFcAUwAoAGEAcgByAGEAeQApACwAQwBPAEwAVQBNAE4AUwAoAGEAcgByAGEAeQApACwATABBAE0AQgBEAEEAKAB4ACwAeQAsAFMAVQBNACgASQBOAEQARQBYACgAYQByAHIAYQB5ACwAUwBFAFEAVQBFAE4AQwBFACgAeAApACwAeQApACkAKQApACwAIABSAGUAcwB1AGwAdAApACAAKQA7AFwAbgBcAG4AcgB1AG4AbgBpAG4AZwBUAG8AdABhAGwAcwBCAHkAUgBvAHcAIAA9ACAATABBAE0AQgBEAEEAKABhAHIAcgBhAHkALABMAEUAVAAoACAAIAAgACAAXABcAFwAXABMAGEAbQBiAGQAYQBOAGEAbQBlACwAIABcACIAUgB1AG4AbgBpAG4AZwBUAG8AdABhAGwAcwBCAHkAUgBvAHcAXAAiACwAXABuACAAIAAgAFIAZQBzAHUAbAB0ACwAIABNAEEASwBFAEEAUgBSAEEAWQAoAFIATwBXAFMAKABhAHIAcgBhAHkAKQAsAEMATwBMAFUATQBOAFMAKABhAHIAcgBhAHkAKQAsAEwAQQBNAEIARABBACgAeAAsAHkALABTAFUATQAoAEkATgBEAEUAWAAoAGEAcgByAGEAeQAsAHgALABTAEUAUQBVAEUATgBDAEUAKAAxACwAeQApACkAKQApACkALABcAG4AIAAgACAAUgBlAHMAdQBsAHQAXABuACkAKQA7AFwAbgBcAG4AcwB1AG0AQgB5AEMAbwBsAHUAbQBuACAAPQAgAEwAQQBNAEIARABBACgAYQByAHIAYQB5ACwAQgBZAEMATwBMACgAYQByAHIAYQB5ACwATABBAE0AQgBEAEEAKABjAG8AbAAsAFMAVQBNACgAYwBvAGwAKQApACkAIAApADsAXABuAFwAbgBzAHUAbQBCAHkAUgBvAHcAIAA9ACAATABBAE0AQgBEAEEAKABhAHIAcgBhAHkALABCAFkAUgBPAFcAKABhAHIAcgBhAHkALABMAEEATQBCAEQAQQAoAGMAbwBsACwAUwBVAE0AKABjAG8AbAApACkAKQAgACkAOwBcAG4AXABuAGkAcwBBAGwAbAAgAD0AIABMAEEATQBCAEQAQQAoAGEAcgByAGEAeQAsAFsAYwByAGkAdABlAHIAaQBvAG4AXQAsAFwAbgAgACAAIABBAE4ARAAoAEkARgAoAEkAUwBPAE0ASQBUAFQARQBEACgAYwByAGkAdABlAHIAaQBvAG4AKQAsACAAYQByAHIAYQB5ACwAIABNAEEAUAAoAGEAcgByAGEAeQAsACAAYwByAGkAdABlAHIAaQBvAG4AKQApACkAXABuACkAOwAgAFwAbgBcAG4AaQBzAEEAbABsAEIAdQB0AE8AbgBlACAAPQAgAEwAQQBNAEIARABBACgAYQByAHIAYQB5ACwAWwBjAHIAaQB0AGUAcgBpAG8AbgBdACwAXABuACAAIAAgAFMAVQBNACgALQAtAEkARgAoAEkAUwBPAE0ASQBUAFQARQBEACgAYwByAGkAdABlAHIAaQBvAG4AKQAsACAAYQByAHIAYQB5ACwAIABNAEEAUAAoAGEAcgByAGEAeQAsACAAYwByAGkAdABlAHIAaQBvAG4AKQApACkAXABuACAAIAAgACAAIAAgAD0AIABSAE8AVwBTACgAYQByAHIAYQB5ACkAIAAqACAAQwBPAEwAVQBNAE4AUwAoAGEAcgByAGEAeQApACAALQAgADEAXABuACkAOwBcAG4AXABuAGkAcwBBAG4AeQAgAD0AIABMAEEATQBCAEQAQQAoAGEAcgByAGEAeQAsAFsAYwByAGkAdABlAHIAaQBvAG4AXQAsAFwAbgAgACAAIABPAFIAKABJAEYAKABJAFMATwBNAEkAVABUAEUARAAoAGMAcgBpAHQAZQByAGkAbwBuACkALAAgAGEAcgByAGEAeQAsACAATQBBAFAAKABhAHIAcgBhAHkALAAgAGMAcgBpAHQAZQByAGkAbwBuACkAKQApAFwAbgApADsAXABuAFwAbgBpAHMARQB4AGEAYwB0AGwAeQBPAG4AZQAgAD0AIABMAEEATQBCAEQAQQAoAGEAcgByAGEAeQAsAFsAYwByAGkAdABlAHIAaQBvAG4AXQAsAFwAbgAgACAAIABTAFUATQAoAC0ALQBJAEYAKABJAFMATwBNAEkAVABUAEUARAAoAGMAcgBpAHQAZQByAGkAbwBuACkALAAgAGEAcgByAGEAeQAsACAATQBBAFAAKABhAHIAcgBhAHkALAAgAGMAcgBpAHQAZQByAGkAbwBuACkAKQApACAAPQAgADEAXABuACkAOwBcAG4AXABuAGkAcwBFAHgAYQBjAHQAbAB5AFQAdwBvACAAPQAgAEwAQQBNAEIARABBACgAYQByAHIAYQB5ACwAWwBjAHIAaQB0AGUAcgBpAG8AbgBdACwAXABuACAAIAAgAFMAVQBNACgALQAtAEkARgAoAEkAUwBPAE0ASQBUAFQARQBEACgAYwByAGkAdABlAHIAaQBvAG4AKQAsACAAYQByAHIAYQB5ACwAIABNAEEAUAAoAGEAcgByAGEAeQAsACAAYwByAGkAdABlAHIAaQBvAG4AKQApACkAIAA9ACAAMgBcAG4AKQA7AFwAbgBcAG4AaQBzAE4AbwBuAGUAIAA9ACAATABBAE0AQgBEAEEAKABhAHIAcgBhAHkALABbAGMAcgBpAHQAZQByAGkAbwBuAF0ALABcAG4AIAAgACAAUwBVAE0AKAAtAC0ASQBGACgASQBTAE8ATQBJAFQAVABFAEQAKABjAHIAaQB0AGUAcgBpAG8AbgApACwAIABhAHIAcgBhAHkALAAgAE0AQQBQACgAYQByAHIAYQB5ACwAIABjAHIAaQB0AGUAcgBpAG8AbgApACkAKQAgAD0AIAAwAFwAbgApADsAXABuAFwAbgBhAGwAbABDAG8AbQBiAGkAbgBhAHQAaQBvAG4AcwAgAD0AIABMAEEATQBCAEQAQQAoAHQAYQBiAGwAZQAxACwAdABhAGIAbABlADIALABbAGgAYQBzAF8AaABlAGEAZABlAHIAcwBdACwAIABMAEUAVAAoAFwAbgAgACAAIABfAEgAYQBzAEgAZQBhAGQAZQByAHMALAAgAEkARgAoAEkAUwBPAE0ASQBUAFQARQBEACgAaABhAHMAXwBoAGUAYQBkAGUAcgBzACkALABUAFIAVQBFACwAaABhAHMAXwBoAGUAYQBkAGUAcgBzACkALABcAG4AIAAgACAAXwBEAGEAdABhADEALAAgAEkARgAoAF8ASABhAHMASABlAGEAZABlAHIAcwAsAEQAUgBPAFAAKAB0AGEAYgBsAGUAMQAsADEAKQAsAHQAYQBiAGwAZQAxACkALABcAG4AIAAgACAAXwBEAGEAdABhADIALAAgAEkARgAoAF8ASABhAHMASABlAGEAZABlAHIAcwAsAEQAUgBPAFAAKAB0AGEAYgBsAGUAMgAsADEAKQAsAHQAYQBiAGwAZQAyACkALABcAG4AIAAgACAAXwBEADEAUgBvAHcAcwAsACAAUgBPAFcAUwAoAF8ARABhAHQAYQAxACkALABcAG4AIAAgACAAXwBEADEAQwBvAGwAcwAsACAAQwBPAEwAVQBNAE4AUwAoAF8ARABhAHQAYQAxACkALABcAG4AIAAgACAAXwBEADIAUgBvAHcAcwAsACAAUgBPAFcAUwAoAF8ARABhAHQAYQAyACkALABcAG4AIAAgACAAXwBEADIAQwBvAGwAcwAsACAAQwBPAEwAVQBNAE4AUwAoAF8ARABhAHQAYQAyACkALABcAG4AIAAgACAAXwBPAHUAdABlAHIASgBvAGkAbgBlAGQARABhAHQAYQAsACAATQBBAEsARQBBAFIAUgBBAFkAKABfAEQAMQBSAG8AdwBzACAAKgAgAF8ARAAyAFIAbwB3AHMALAAgAF8ARAAxAEMAbwBsAHMAIAArACAAXwBEADIAQwBvAGwAcwAsAEwAQQBNAEIARABBACgAaQAsAGoALABcAG4AIAAgACAAIAAgACAASQBGACgAagAgADwAPQAgAF8ARAAxAEMAbwBsAHMALAAgAEkATgBEAEUAWAAoAF8ARABhAHQAYQAxACwAIABSAE8AVQBOAEQAVQBQACgAaQAgAC8AIABfAEQAMgBSAG8AdwBzACwAIAAwACkALAAgAGoAKQAsACAASQBOAEQARQBYACgAXwBEAGEAdABhADIALAAgAE0ATwBEACgAaQAgAC0AIAAxACwAIABfAEQAMgBSAG8AdwBzACkAKwAxACwAIABqACAALQAgAF8ARAAxAEMAbwBsAHMAKQApACkAKQAsAFwAbgAgACAAIABfAFcAaQB0AGgASABlAGEAZABlAHIALAAgAEkARgAoAF8ASABhAHMASABlAGEAZABlAHIAcwAsAFYAUwBUAEEAQwBLACgASABTAFQAQQBDAEsAKABUAEEASwBFACgAdABhAGIAbABlADEALAAgADEAKQAsACAAVABBAEsARQAoAHQAYQBiAGwAZQAyACwAIAAxACkAKQAsACAAXwBPAHUAdABlAHIASgBvAGkAbgBlAGQARABhAHQAYQApACwAXwBPAHUAdABlAHIASgBvAGkAbgBlAGQARABhAHQAYQApACwAXABuACAAIAAgAF8AVwBpAHQAaABIAGUAYQBkAGUAcgBcAG4AKQApADsAXABuAFwAbgBnAHUAZQBzAHMARABlAGwAaQBtAGkAdABlAHIAIAA9ACAATABBAE0AQgBEAEEAKABhAHIAcgBhAHkALAAgAEwARQBUACgAXABuACAAIAAgAFwAXABcAFwATABhAG0AYgBkAGEATgBhAG0AZQAsACAAXAAiAEcAdQBlAHMAcwBEAGUAbABpAG0AaQB0AGUAcgBcACIALABcAG4AIAAgACAAXwBDAG8AbQBiAGkAbgBlACwAIABUAEUAWABUAEoATwBJAE4AKABDAEgAQQBSACgAMQAwACkALAAgAFQAUgBVAEUALAAgAGEAcgByAGEAeQApACwAXABuACAAIAAgAF8ATABlAHQAdABlAHIAcwAsACAATQBJAEQAKABfAEMAbwBtAGIAaQBuAGUALAAgAFMARQBRAFUARQBOAEMARQAoAEwARQBOACgAXwBDAG8AbQBiAGkAbgBlACkAKQAsACAAMQApACwAXABuACAAIAAgAF8ASQBzAEwAZQB0AHQAZQByACwAIABNAEEAUAAoAF8ATABlAHQAdABlAHIAcwAsACAATABBAE0AQgBEAEEAKAB4ACwAIABBAE4ARAAoAFUAUABQAEUAUgAoAHgAKQAgAD4APQAgAFwAIgBBAFwAIgAsACAAVQBQAFAARQBSACgAeAApACAAPAA9ACAAXAAiAFoAXAAiACkAKQApACwAXABuACAAIAAgAF8ASQBzAEQAaQBnAGkAdAAsACAATQBBAFAAKABfAEwAZQB0AHQAZQByAHMALAAgAEwAQQBNAEIARABBACgAeAAsACAAQQBOAEQAKAB4ACAAPgA9ACAAXAAiADAAXAAiACwAIAB4ACAAPAA9ACAAXAAiADkAXAAiACkAKQApACwAXABuACAAIAAgAF8ASQBzAFcAaABpAHQAZQBTAHAAYQBjAGUALAAgAE0AQQBQACgAXABuACAAIAAgACAAIAAgAF8ATABlAHQAdABlAHIAcwAsAFwAbgAgACAAIAAgACAAIABMAEEATQBCAEQAQQAoAHgALAAgAE8AUgAoAEMATwBEAEUAKAB4ACkAIAA9ACAAMwAyACwAIABDAE8ARABFACgAeAApACAAPQAgADkALAAgAEMATwBEAEUAKAB4ACkAIAA9ACAAMQAwACwAIABDAE8ARABFACgAeAApACAAPQAgADEAMwApACkAXABuACAAIAAgACkALABcAG4AIAAgACAAXwBJAHMATgBlAGkAdABoAGUAcgAsACAAKABfAEkAcwBMAGUAdAB0AGUAcgAgACsAIABfAEkAcwBEAGkAZwBpAHQAIAArACAAXwBJAHMAVwBoAGkAdABlAFMAcABhAGMAZQApACAAPQAgADAALABcAG4AIAAgACAAXwBTAHkAbQBiAG8AbABzACwAIABGAEkATABUAEUAUgAoAF8ATABlAHQAdABlAHIAcwAsACAAXwBJAHMATgBlAGkAdABoAGUAcgApACwAXABuACAAIAAgAF8AUgBhAG4AawBlAGQALAAgAFMATwBSAFQAQgBZACgAXABuACAAIAAgACAAIAAgAFUATgBJAFEAVQBFACgAXwBTAHkAbQBiAG8AbABzACkALABcAG4AIAAgACAAIAAgACAAQgBZAFIATwBXACgAVABSAEEATgBTAFAATwBTAEUAKABfAFMAeQBtAGIAbwBsAHMAKQAgAD0AIABVAE4ASQBRAFUARQAoAF8AUwB5AG0AYgBvAGwAcwApACwAIABMAEEATQBCAEQAQQAoAHgALAAgAFMAVQBNACgATgAoAHgAKQApACkAKQAsAFwAbgAgACAAIAAgACAAIAAtADEAXABuACAAIAAgACkALABcAG4AIAAgACAAXwBSAGUAcwB1AGwAdAAsACAAVABBAEsARQAoAF8AUgBhAG4AawBlAGQALAAgADEAKQAsAFwAbgAgACAAIABfAFIAZQBzAHUAbAB0AFwAbgApACkAOwBcAG4AXABuAHIAZQBwAGwAYQBjAGUAWgBlAHIAbwBzAFcAaQB0AGgAQgBsAGEAbgBrAHMAIAA9ACAATABBAE0AQgBEAEEAKABhAHIAcgBhAHkALABMAEUAVAAoAFwAbgAgACAAIABcAFwAXABcAEwAYQBtAGIAZABhAE4AYQBtAGUALAAgAFwAIgBSAGUAcABsAGEAYwBlAFoAZQByAG8AcwBXAGkAdABoAEIAbABhAG4AawBzAFwAIgAsAFwAbgAgACAAIABcAFwAXABcAEMAbwBtAG0AYQBuAGQATgBhAG0AZQAsACAAXAAiAFIAZQBwAGwAYQBjAGUAIABaAGUAcgBvAHMAIABXAGkAdABoACAAQgBsAGEAbgBrAHMAXAAiACwAXABuACAAIAAgAFwAXABcAFwARABlAHMAYwByAGkAcAB0AGkAbwBuACwAIABcACIAUgBlAHQAdQByAG4AcwAgAHQAaABlACAAcABhAHMAcwBlAGQAIABhAHIAcgBhAHkAIABiAHUAdAAgAHcAaQB0AGgAIABiAGwAYQBuAGsAcwAgAHcAaABlAHIAZQAgAHQAaABlAHIAZQAgAHcAZQByAGUAIAB6AGUAcgBvAHMALgBcACIALABcAG4ASQBGACgAYQByAHIAYQB5AD0AMAAsAFwAIgBcACIALABhAHIAcgBhAHkAKQApAFwAbgApADsAXABuAFwAbgBzAGgAbwB3AEYAbwByAG0AdQBsAGEAcwAgAD0AIABMAEEATQBCAEQAQQAoAFIAZQBmAGUAcgBlAG4AYwBlACwAIABMAEUAVAAoACAAXABuACAAIAAgAGMALAAgAFIAZQBmAGUAcgBlAG4AYwBlACwAXABuACAAIAAgAGYALAAgAFQATwBDAE8ATAAoAEEARABEAFIARQBTAFMAKABSAE8AVwAoAGMAKQAsACAAQwBPAEwAVQBNAE4AKABjACkALAAgADQAKQAgACYAIABcACIAOgAgAFwAIgAgACYAIABGAE8AUgBNAFUATABBAFQARQBYAFQAKABjACkALAAgADMAKQAsAFwAbgAgACAAIAByACwAIABEAFIATwBQACgAUgBFAEQAVQBDAEUAKAB7AFwAIgBcACIAfQAsACAAZgAsACAATABBAE0AQgBEAEEAKABzACwAeAAsACAAVgBTAFQAQQBDAEsAKABzACwAIABUAEUAWABUAFMAUABMAEkAVAAoAHgALAAgACwAIABcACIAXABuAFwAIgApACkAKQApACwAIAAxACkALABcAG4AIAAgACAAcgBcAG4AKQApADsAXABuAFwAbgBuAG8AbgBEAGkAZwBpAHQAWgBlAHIAbwAgAD0AIABMAEEATQBCAEQAQQAoAHQAZQB4AHQAXwB2AGUAYwB0AG8AcgAsACAATABFAFQAKABcAG4AIAAgACAAXABcAFwAXABMAGEAbQBiAGQAYQBOAGEAbQBlACwAIABcACIAUwBwAGwAaQB0AEIAeQBEAGkAZwBpAHQAcwBcACIALABcAG4AIAAgACAAZgBuAFMAaQBuAGcAbABlACwAIABMAEEATQBCAEQAQQAoAHQAZQB4AHQALAAgAEwARQBUACgAXABuACAAIAAgACAAIAAgAF8AUwBlAHEAdQBlAG4AYwBlACwAIABTAEUAUQBVAEUATgBDAEUAKABMAEUATgAoAHQAZQB4AHQAKQApACwAXABuACAAIAAgACAAIAAgAF8AVAByAGEAbgBzAHAAbwBzAGUALAAgAEMATwBMAFUATQBOAFMAKAB0AGUAeAB0AF8AdgBlAGMAdABvAHIAKQAgAD0AIAAxACwAXABuACAAIAAgACAAIAAgAF8AUwBwAGwAaQB0ACwAIABNAEkARAAoAHQAZQB4AHQALAAgAEkARgAoAF8AVAByAGEAbgBzAHAAbwBzAGUALAAgAFQAUgBBAE4AUwBQAE8AUwBFACgAXwBTAGUAcQB1AGUAbgBjAGUAKQAsACAAXwBTAGUAcQB1AGUAbgBjAGUAKQAsACAAMQApACwAXABuACAAIAAgACAAIAAgAF8AUgBlAHMAdQBsAHQALAAgAEkARgAoAEwARQBOACgAdABlAHgAdAApACAAPQAgADAALAAgAFwAIgBcACIALAAgAEkARgBFAFIAUgBPAFIAKABWAEEATABVAEUAKABfACkALAAgADAAKQApACwAXABuACAAIAAgACAAIAAgAF8AUgBlAHMAdQBsAHQAXABuACAAIAAgACkAKQAsAFwAbgAgACAAIABfAEkAcwBBAHIAcgBhAHkALAAgAFQAWQBQAEUAKAB0AGUAeAB0AF8AdgBlAGMAdABvAHIAKQAgAD0AIAA2ADQALABcAG4AIAAgACAAXwBSAGUAcwB1AGwAdAAsACAASQBGACgAXwBJAHMAQQByAHIAYQB5ACwAIABJAEYATgBBACgAVABpAGwAZQAoAHQAZQB4AHQAXwB2AGUAYwB0AG8AcgAsACAATABBAE0AQgBEAEEAKAB4ACwAIABmAG4AUwBpAG4AZwBsAGUAKAB4ACkAKQApACwAIABcACIAXAAiACkALAAgAGYAbgBTAGkAbgBnAGwAZQAoAHQAZQB4AHQAXwB2AGUAYwB0AG8AcgApACkALABcAG4AIAAgACAAXwBSAGUAcwB1AGwAdABcAG4AKQApADsAXABuAFwAbgBzAHAAbABpAHQATgB1AG0AYgBlAHIAcwBGAHIAbwBtAFQAZQB4AHQAIAA9ACAATABBAE0AQgBEAEEAKAB0AGUAeAB0AF8AdgBlAGMAdABvAHIALABbAGkAZwBuAG8AcgBlAF8AYwBvAG0AbQBhAHMAXQAsACAATABFAFQAKABcAG4AIAAgACAAXABcAFwAXABMAGEAbQBiAGQAYQBOAGEAbQBlACwAIABcACIAUwBwAGwAaQB0AE4AdQBtAGIAZQByAHMARgByAG8AbQBUAGUAeAB0AFwAIgAsAFwAbgAgACAAIABmAG4AUwBwAGwAaQB0ACwAIABMAEEATQBCAEQAQQAoAHQAZQB4AHQALABbAGkAZwBuAG8AcgBlAF8AYwBvAG0AbQBhAHMAXQAsAFsAdAByAGEAbgBzAHAAbwBzAGUAXwByAGUAcwB1AGwAdABdACwAIABMAEUAVAAoAFwAbgAgACAAIAAgACAAIABfAGMAaABhAHIAcwAsACAATQBJAEQAKAB0AGUAeAB0ACwAIABTAEUAUQBVAEUATgBDAEUAKABMAEUATgAoAHQAZQB4AHQAKQApACwAIAAxACkALABcAG4AIAAgACAAIAAgACAAXwBpAHMATgB1AG0AYgBlAHIALAAgAEwARQBUACgAXABuACAAIAAgACAAIAAgACAAIAAgAGMAbwBkAGUAcwAsACAAQwBPAEQARQAoAF8AYwBoAGEAcgBzACkALABcAG4AIAAgACAAIAAgACAAIAAgACAAcAByAGkAbwByAEMAbwBkAGUAcwAsACAAVgBTAFQAQQBDAEsAKABcACIAXAAiACwAIABEAFIATwBQACgAYwBvAGQAZQBzACwAIAAtADEAKQApACwAXABuACAAIAAgACAAIAAgACAAIAAgAG4AZQB4AHQAQwBvAGQAZQBzACwAIABWAFMAVABBAEMASwAoAEQAUgBPAFAAKABjAG8AZABlAHMALAAgADEAKQAsACAAXAAiAFwAIgApACwAXABuACAAIAAgACAAIAAgACAAIAAgAGYAbgBJAHMARABpAGcAaQB0ACwAIABMAEEATQBCAEQAQQAoAHgALAAgACgAeAAgAD4APQAgAEMATwBEAEUAKABcACIAMABcACIAKQApACAAKgAgACgAeAAgADwAPQAgAEMATwBEAEUAKABcACIAOQBcACIAKQApACAAPQAgADEAKQAsAFwAbgAgACAAIAAgACAAIAAgACAAIABJAHMAUABlAHIAaQBvAGQALAAgAGMAbwBkAGUAcwAgAD0AIABDAE8ARABFACgAXAAiAC4AXAAiACkALABcAG4AIAAgACAAIAAgACAAIAAgACAASQBzAEMAbwBtAG0AYQAsACAAKABjAG8AZABlAHMAIAA9ACAAQwBPAEQARQAoAFwAIgAsAFwAIgApACkAIAAqACAAKAAoAEkAUwBPAE0ASQBUAFQARQBEACgAaQBnAG4AbwByAGUAXwBjAG8AbQBtAGEAcwApACAAKwAgACgAaQBnAG4AbwByAGUAXwBjAG8AbQBtAGEAcwAgAD0AIABGAEEATABTAEUAKQApACkAIAA8AD4AIAAwACwAXABuACAAIAAgACAAIAAgACAAIAAgAGYAbgBJAHMARABpAGcAaQB0ACgAYwBvAGQAZQBzACkAIAArACAAKABJAHMAUABlAHIAaQBvAGQAIAArACAASQBzAEMAbwBtAG0AYQApACAAKgAgAGYAbgBJAHMARABpAGcAaQB0ACgAcAByAGkAbwByAEMAbwBkAGUAcwApACAAKgAgAGYAbgBJAHMARABpAGcAaQB0ACgAbgBlAHgAdABDAG8AZABlAHMAKQBcAG4AIAAgACAAIAAgACAAKQAsAFwAbgAgACAAIAAgACAAIABfAGYAbABpAHAALAAgAFYAUwBUAEEAQwBLACgARABSAE8AUAAoAF8AaQBzAE4AdQBtAGIAZQByACwAIAAxACkAIAA8AD4AIABEAFIATwBQACgAXwBpAHMATgB1AG0AYgBlAHIALAAgAC0AMQApACwAIABGAEEATABTAEUAKQAsAFwAbgAgACAAIAAgACAAIABfAGEAZABkAEQAZQBsAGkAbQBpAHQAZQByACwAIABfAGMAaABhAHIAcwAgACYAIABJAEYAKABfAGYAbABpAHAALAAgAFwAIgAhIFwAIgAsACAAXAAiAFwAIgApACwAXABuACAAIAAgACAAIAAgAF8AcwBwAGwAaQB0ACwAIABUAEUAWABUAFMAUABMAEkAVAAoAEMATwBOAEMAQQBUACgAXwBhAGQAZABEAGUAbABpAG0AaQB0AGUAcgApACwAIABcACIAISBcACIAKQAsAFwAbgAgACAAIAAgACAAIABfAHQAbwBOAHUAbQBiAGUAcgBzACwAIABJAEYARQBSAFIATwBSACgALQAtAF8AcwBwAGwAaQB0ACwAIABfAHMAcABsAGkAdAApACwAXABuACAAIAAgACAAIAAgAF8AcgBlAHMAdQBsAHQALAAgAEkARgAoAHQAcgBhAG4AcwBwAG8AcwBlAF8AcgBlAHMAdQBsAHQALAAgAFQAUgBBAE4AUwBQAE8AUwBFACgAXwB0AG8ATgB1AG0AYgBlAHIAcwApACwAIABfAHQAbwBOAHUAbQBiAGUAcgBzACkALABcAG4AIAAgACAAIAAgACAAXwByAGUAcwB1AGwAdABcAG4AIAAgACAAKQApACwAXABuACAAIAAgAF8AVAByAGEAbgBzAHAAbwBzAGUALAAgAEMATwBMAFUATQBOAFMAKAB0AGUAeAB0AF8AdgBlAGMAdABvAHIAKQAgADwAPgAgADEALABcAG4AIAAgACAAXwBJAHMAQQByAHIAYQB5ACwAIABUAFkAUABFACgAdABlAHgAdABfAHYAZQBjAHQAbwByACkAIAA9ACAANgA0ACwAXABuACAAIAAgAF8AUgBlAHMAdQBsAHQALAAgAEkARgAoAFwAbgAgACAAIAAgACAAIABfAEkAcwBBAHIAcgBhAHkALABcAG4AIAAgACAAIAAgACAASQBGAE4AQQAoAFQAaQBsAGUAKAB0AGUAeAB0AF8AdgBlAGMAdABvAHIALAAgAEwAQQBNAEIARABBACgAeAAsACAAZgBuAFMAcABsAGkAdAAoAHgALAAgAGkAZwBuAG8AcgBlAF8AYwBvAG0AbQBhAHMALAAgAF8AVAByAGEAbgBzAHAAbwBzAGUAKQApACkALAAgAFwAIgBcACIAKQAsAFwAbgAgACAAIAAgACAAIABmAG4AUwBwAGwAaQB0ACgAdABlAHgAdABfAHYAZQBjAHQAbwByACwAIABpAGcAbgBvAHIAZQBfAGMAbwBtAG0AYQBzACwAIABGAEEATABTAEUAKQBcAG4AIAAgACAAKQAsAFwAbgAgACAAIABfAFIAZQBzAHUAbAB0AFwAbgApACkAOwBcAG4AXABuAHQAaQBsAGUAIAA9ACAATABBAE0AQgBEAEEAKABwAGEAcgBhAG0AcwAsAGYAdQBuAGMAdABpAG8AbgAsAEwARQBUACgAIAAgACAAIABcAFwAXABcAEwAYQBtAGIAZABhAE4AYQBtAGUALAAgAFwAIgBUAEkATABFAFwAIgAsACAAIAAgACAAXABcAFwAXABDAG8AbQBtAGEAbgBkAE4AYQBtAGUALAAgAFwAIgBUAGkAbABlAFwAIgAsACAAIAAgACAAXABcAFwAXABEAGUAcwBjAHIAaQBwAHQAaQBvAG4ALAAgAFwAIgBUAGkAbABlACAAdABoAGUAIABvAHUAdABwAHUAdABzACAAbwBmACAAYQAgAHMAaQBuAGcAbABlAC0AcABhAHIAYQBtAGUAdABlAHIAIABmAHUAbgBjAHQAaQBvAG4AIABnAGkAdgBlAG4AIABhAG4AIABhAHIAcgBhAHkAIABtAGEAcAAgAG8AZgAgAHAAYQByAGEAbQBlAHQAZQByAHMALgBcACIALAAgACAAIAAgAFwAXABcAFwAUABhAHIAYQBtAGUAdABlAHIAcwAsACAAewBcACIAcABhAHIAYQBtAHMAXAAiACwAXAAiAGEAcgByAGEAeQAgAG8AZgAgAHAAYQByAGEAbQBlAHQAZQByAHMAIABhAHIAcgBhAG4AZwBlAGQAIABoAG8AdwAgAGYAdQBuAGMAdABpAG8AbgAgAHIAZQBzAHUAbAB0AHMAIAB0AG8AIABiAGUAIAB0AGkAbABlAGQAXAAiADsAXAAiAGYAdQBuAGMAdABpAG8AbgBcACIALABcACIAcwBpAG4AZwBsAGUALQBwAGEAcgBhAG0AZQB0AGUAcgAgAEwAYQBtAGIAZABhACAAbgBhAG0AZQAgAG8AcgAgAGYAdQBuAGMAdABpAG8AbgBcACIAfQAsACAAIAAgACAAXABcAFwAXABTAG8AdQByAGMAZQAsACAAXAAiAFcAcgBpAHQAdABlAG4AIABiAHkAIABAAEUAeABjAGUAbABSAG8AYgBvAHQAIABiAHUAdAAgAGkAbgBzAHAAaQByAGUAZAAgAGIAeQAgAE8AdwBlAG4AIABQAHIAaQBjAGUAJwBzACAAUwBUAEEAQwBLAEUAUgAgAGwAYQBtAGIAZABhAC4AXAAiACwAXABuACAAIAAgAGYAaQByAHMAdAByAG8AdwAsACAAZgB1AG4AYwB0AGkAbwBuACgASQBOAEQARQBYACgAcABhAHIAYQBtAHMALAAxACwAMQApACkALABcAG4AIAAgACAAcwB0AGEAYwBrAGUAcgAsACAATABBAE0AQgBEAEEAKABzAHQAYQBjAGsALABwAGEAcgBhAG0ALABWAFMAVABBAEMASwAoAHMAdABhAGMAawAsAGYAdQBuAGMAdABpAG8AbgAoAHAAYQByAGEAbQApACkAKQAsAFwAbgAgACAAIABmAGkAcgBzAHQAYwBvAGwALAAgAEkARgAoAFIATwBXAFMAKABwAGEAcgBhAG0AcwApAD0AMQAsAGYAaQByAHMAdAByAG8AdwAsAFIARQBEAFUAQwBFACgAZgBpAHIAcwB0AHIAbwB3ACwARABSAE8AUAAoAFQAQQBLAEUAKABwAGEAcgBhAG0AcwAsACwAMQApACwAMQApACwAcwB0AGEAYwBrAGUAcgApACkALABcAG4AIAAgACAAUgBlAHMAdQBsAHQALAAgAEkARgAoAEMATwBMAFUATQBOAFMAKABwAGEAcgBhAG0AcwApAD0AMQAsAGYAaQByAHMAdABjAG8AbAAsAEgAUwBUAEEAQwBLACgAZgBpAHIAcwB0AGMAbwBsACwAVABpAGwAZQAoAEQAUgBPAFAAKABwAGEAcgBhAG0AcwAsACwAMQApACwAZgB1AG4AYwB0AGkAbwBuACkAKQApACwAXABuACAAIAAgAFIAZQBzAHUAbAB0AFwAbgApACkAOwBcAG4AXABuAGMAcgBvAHMAcwBKAG8AaQBuACAAPQAgAEwAQQBNAEIARABBACgAdABhAGIAbABlADEALAB0AGEAYgBsAGUAMgAsAFsAaABhAHMAXwBoAGUAYQBkAGUAcgBzAF0ALAAgAEwARQBUACgAXABuACAAIAAgAF8ASABhAHMASABlAGEAZABlAHIAcwAsACAASQBGACgASQBTAE8ATQBJAFQAVABFAEQAKABoAGEAcwBfAGgAZQBhAGQAZQByAHMAKQAsAFQAUgBVAEUALABoAGEAcwBfAGgAZQBhAGQAZQByAHMAKQAsAFwAbgAgACAAIABfAEQAYQB0AGEAMQAsACAASQBGACgAXwBIAGEAcwBIAGUAYQBkAGUAcgBzACwARABSAE8AUAAoAHQAYQBiAGwAZQAxACwAMQApACwAdABhAGIAbABlADEAKQAsAFwAbgAgACAAIABfAEQAYQB0AGEAMgAsACAASQBGACgAXwBIAGEAcwBIAGUAYQBkAGUAcgBzACwARABSAE8AUAAoAHQAYQBiAGwAZQAyACwAMQApACwAdABhAGIAbABlADIAKQAsAFwAbgAgACAAIABfAEQAMQBSAG8AdwBzACwAIABSAE8AVwBTACgAXwBEAGEAdABhADEAKQAsAFwAbgAgACAAIABfAEQAMQBDAG8AbABzACwAIABDAE8ATABVAE0ATgBTACgAXwBEAGEAdABhADEAKQAsAFwAbgAgACAAIABfAEQAMgBSAG8AdwBzACwAIABSAE8AVwBTACgAXwBEAGEAdABhADIAKQAsAFwAbgAgACAAIABfAEQAMgBDAG8AbABzACwAIABDAE8ATABVAE0ATgBTACgAXwBEAGEAdABhADIAKQAsAFwAbgAgACAAIABfAE8AdQB0AGUAcgBKAG8AaQBuAGUAZABEAGEAdABhACwAIABNAEEASwBFAEEAUgBSAEEAWQAoAF8ARAAxAFIAbwB3AHMAIAAqACAAXwBEADIAUgBvAHcAcwAsACAAXwBEADEAQwBvAGwAcwAgACsAIABfAEQAMgBDAG8AbABzACwATABBAE0AQgBEAEEAKABpACwAagAsAFwAbgAgACAAIAAgACAAIABJAEYAKABqACAAPAA9ACAAXwBEADEAQwBvAGwAcwAsACAASQBOAEQARQBYACgAXwBEAGEAdABhADEALAAgAFIATwBVAE4ARABVAFAAKABpACAALwAgAF8ARAAyAFIAbwB3AHMALAAgADAAKQAsACAAagApACwAIABJAE4ARABFAFgAKABfAEQAYQB0AGEAMgAsACAATQBPAEQAKABpACAALQAgADEALAAgAF8ARAAyAFIAbwB3AHMAKQArADEALAAgAGoAIAAtACAAXwBEADEAQwBvAGwAcwApACkAKQApACwAXABuACAAIAAgAF8AVwBpAHQAaABIAGUAYQBkAGUAcgAsACAASQBGACgAXwBIAGEAcwBIAGUAYQBkAGUAcgBzACwAVgBTAFQAQQBDAEsAKABIAFMAVABBAEMASwAoAFQAQQBLAEUAKAB0AGEAYgBsAGUAMQAsACAAMQApACwAIABUAEEASwBFACgAdABhAGIAbABlADIALAAgADEAKQApACwAIABfAE8AdQB0AGUAcgBKAG8AaQBuAGUAZABEAGEAdABhACkALABfAE8AdQB0AGUAcgBKAG8AaQBuAGUAZABEAGEAdABhACkALABcAG4AIAAgACAAXwBXAGkAdABoAEgAZQBhAGQAZQByAFwAbgApACkAIgB9AF0ALAAiAHAAcgBvAGoAZQBjAHQATgBhAG0AZQBzACIAOgBbACIAcABpAHAAcwAiACwAIgBjAG8AdQBuAHQATwBjAGMAIgAsACIAcwBwAGwAaQB0AEIAeQBDAGgAYQByAGEAYwB0AGUAcgAiACwAIgBhAHIAcgBzACIALAAiAGEAcgByAHMATABSACIALAAiAGEAcgByAHMAVQBEACIALAAiAGEAcgByAHMAQQBsAGwAIgAsACIAYQByAHIAcwBDAG8AbQBiACIALAAiAGsAbgBpAGcAaAB0AEwAUgAiACwAIgBrAG4AaQBnAGgAdABVAEQAIgAsACIAawBuAGkAZwBoAHQAQwBvAG0AYgAiACwAIgBkAGkAcgBzAEMAbwBtAGIAIgAsACIAcwB1AGkAdABzACIALAAiAHMAdQBpAHQAcwBPAHAAcAAiACwAIgBjAGEAcgBkAE8AcgBkACIALAAiAG0AbwBzAHQATwBmACIALAAiAG4AeAB0ACIALAAiAHAAcgBlAHYAIgAsACIAcABlAHIAQwBvAG0AIgAsACIAYQBkAGQAcgBlAHMAcwBlAHMAIgAsACIAcgB3AEMAbABOAG0AIgAsACIAZABpAHMAdABGAHIAbwBtACIALAAiAG4AZQBpAGcAaABiAG8AcgBPAHAAIgAsACIAaQBzAFAAYQBsAGkAbgBkAHIAbwBtAGUAIgAsACIAcgBlAHYAZQByAHMAZQBTAHQAcgBpAG4AZwAiACwAIgBlAHgAdAByAGEAYwB0AE4AdQBtAGIAZQByAHMAIgAsACIAbgBvAHQASQBuAFQAZQB4AHQAIgAsACIAbQBpAHMAcwBpAG4AZwBOAHUAbQBiAGUAcgBzACIALAAiAHIAZQBtAG8AdgBlAEIAbABhAG4AawBzACIALAAiAHIAZQBtAG8AdgBlAEMAbwBsAHMAIgAsACIAcgBlAG0AbwB2AGUAUgBvAHcAcwAiACwAIgByAGUAdgBlAHIAcwBlAEMAbwBsAHUAbQBuAHMAIgAsACIAcgBlAHYAZQByAHMAZQBSAG8AdwBzACIALAAiAHUAbgBwAGkAdgBvAHQAIgAsACIAcwBwAGwAaQB0AE4AdQBtAGIAZQByAHMARgByAG8AbQBUAGUAeAB0ACIALAAiAGYAaQBsAGwARgByAG8AbQBBAGIAbwB2AGUAIgAsACIAZgBpAGwAbABGAHIAbwBtAEIAZQBsAG8AdwAiACwAIgBmAGkAbABsAEYAcgBvAG0ATABlAGYAdAAiACwAIgBmAGkAbABsAEYAcgBvAG0AUgBpAGcAaAB0ACIALAAiAHIAdQBuAG4AaQBuAGcAUAByAG8AZAB1AGMAdAAiACwAIgByAHUAbgBuAGkAbgBnAFQAbwB0AGEAbABzAEIAeQBDAG8AbAB1AG0AbgAiACwAIgByAHUAbgBuAGkAbgBnAFQAbwB0AGEAbABzAEIAeQBSAG8AdwAiACwAIgBzAHUAbQBCAHkAQwBvAGwAdQBtAG4AIgAsACIAcwB1AG0AQgB5AFIAbwB3ACIALAAiAGkAcwBBAGwAbAAiACwAIgBpAHMAQQBsAGwAQgB1AHQATwBuAGUAIgAsACIAaQBzAEEAbgB5ACIALAAiAGkAcwBFAHgAYQBjAHQAbAB5AE8AbgBlACIALAAiAGkAcwBFAHgAYQBjAHQAbAB5AFQAdwBvACIALAAiAGkAcwBOAG8AbgBlACIALAAiAGEAbABsAEMAbwBtAGIAaQBuAGEAdABpAG8AbgBzACIALAAiAGcAdQBlAHMAcwBEAGUAbABpAG0AaQB0AGUAcgAiACwAIgByAGUAcABsAGEAYwBlAFoAZQByAG8AcwBXAGkAdABoAEIAbABhAG4AawBzACIALAAiAHMAaABvAHcARgBvAHIAbQB1AGwAYQBzACIALAAiAG4AbwBuAEQAaQBnAGkAdABaAGUAcgBvACIALAAiAHQAaQBsAGUAIgAsACIAYwByAG8AcwBzAEoAbwBpAG4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17.xml><?xml version="1.0" encoding="utf-8"?>
<Text><![CDATA[
GRIDTOCOL_byLiannaGerrish = LAMBDA(grid,[ShowAll_0], LET(
   \\LambdaName, "GRIDTOCOL",
   items_grid, TOCOL(grid),
   addr_col, TOCOL(ADDRESSES_byDiarmuidEarly(grid)),
   rows, ROW(INDIRECT(addr_col)) * 1,
   cols, COLUMN(INDIRECT(addr_col)) * 1,
   rcnum, TOCOL(1000000 * rows + 1000 + cols),
   headers, HSTACK("Items", "Row #", "Column #", "Address", "RCRef"),
   data_grid, HSTACK(items_grid, rows, cols, addr_col, rcnum),
   IF(
      OR(ISOMITTED(ShowAll_0), ShowAll_0 <> 0),
      VSTACK(headers, FILTER(data_grid, CHOOSECOLS(data_grid, 1) <> 0)),
      VSTACK(headers, data_grid)
   )
));
]]></Text>
</file>

<file path=customXml/item18.xml><?xml version="1.0" encoding="utf-8"?>
<Text><![CDATA[
RightAlignedArray = LAMBDA(input, LET(
   \\LambdaName, "RightAlignedArray",
   \\CommandName, "Align array to right",
   \\Description, "Aligns array to the right with blanks to left",
   \\Source, "Jaq Kennedy",
   _ColsByRow, BYROW(input, COUNT),
   _Rows, ROWS(input),
   _Cols, COLUMNS(input),
   _ColIndex, IF(
      MOD(SEQUENCE(_Rows, _Cols) - 1, _Cols) + 1 - _Cols + _ColsByRow <= 0,
      -1,
      MOD(SEQUENCE(_Rows, _Cols) - 1, _Cols) + 1 - _Cols + _ColsByRow
   ),
   _RowIndex, SEQUENCE(_Rows),
   _Result, IFERROR(INDEX(input, _RowIndex, _ColIndex), ""),
   _Result
));
]]></Text>
</file>

<file path=customXml/item19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21/04/2025 11:00:05 +01:00</LastUpdated>
    <CustomXmlPartGuid>{B29441DE-9450-4C77-8FDD-71E30398E5D5}</CustomXmlPartGuid>
  </CustomXmlPartIndex>
  <CustomXmlPartIndex>
    <CollectionName>HotkeyCommands</CollectionName>
    <ItemName>ADDRESSES_byDiarmuidEarly.lambda</ItemName>
    <ItemDescription/>
    <ItemType>Text</ItemType>
    <ItemSubtype/>
    <LastUpdated>21/04/2025 11:00:05 +01:00</LastUpdated>
    <CustomXmlPartGuid>{BA2A756B-CCFF-4D9F-9086-30B75FE80E63}</CustomXmlPartGuid>
  </CustomXmlPartIndex>
  <CustomXmlPartIndex>
    <CollectionName>HotkeyCommands</CollectionName>
    <ItemName>BiRow_byPeterBartholomew.lambda</ItemName>
    <ItemDescription/>
    <ItemType>Text</ItemType>
    <ItemSubtype/>
    <LastUpdated>21/04/2025 11:00:05 +01:00</LastUpdated>
    <CustomXmlPartGuid>{85C0B66C-80EA-473B-810E-3F8477191A87}</CustomXmlPartGuid>
  </CustomXmlPartIndex>
  <CustomXmlPartIndex>
    <CollectionName>HotkeyCommands</CollectionName>
    <ItemName>DiffByRow_byJaqKennedy.lambda</ItemName>
    <ItemDescription/>
    <ItemType>Text</ItemType>
    <ItemSubtype/>
    <LastUpdated>21/04/2025 11:00:05 +01:00</LastUpdated>
    <CustomXmlPartGuid>{79C38505-B4DC-4293-8697-7DBF85E41979}</CustomXmlPartGuid>
  </CustomXmlPartIndex>
  <CustomXmlPartIndex>
    <CollectionName>HotkeyCommands</CollectionName>
    <ItemName>FilterArray_byErikOehm.lambda</ItemName>
    <ItemDescription/>
    <ItemType>Text</ItemType>
    <ItemSubtype/>
    <LastUpdated>21/04/2025 11:00:05 +01:00</LastUpdated>
    <CustomXmlPartGuid>{05268766-9FF0-4B10-843A-48604AB44403}</CustomXmlPartGuid>
  </CustomXmlPartIndex>
  <CustomXmlPartIndex>
    <CollectionName>HotkeyCommands</CollectionName>
    <ItemName>GRIDTOCOL_byLiannaGerrish.lambda</ItemName>
    <ItemDescription/>
    <ItemType>Text</ItemType>
    <ItemSubtype/>
    <LastUpdated>21/04/2025 11:00:05 +01:00</LastUpdated>
    <CustomXmlPartGuid>{A7D3DD68-9D1C-490D-83E8-EA073A4DAEAB}</CustomXmlPartGuid>
  </CustomXmlPartIndex>
  <CustomXmlPartIndex>
    <CollectionName>HotkeyCommands</CollectionName>
    <ItemName>IFBLANK.lambda</ItemName>
    <ItemDescription/>
    <ItemType>Text</ItemType>
    <ItemSubtype/>
    <LastUpdated>21/04/2025 11:00:05 +01:00</LastUpdated>
    <CustomXmlPartGuid>{51825235-BDD4-45E9-9DF5-0C5C86BC4E6C}</CustomXmlPartGuid>
  </CustomXmlPartIndex>
  <CustomXmlPartIndex>
    <CollectionName>HotkeyCommands</CollectionName>
    <ItemName>IsInList_byErikOehm.lambda</ItemName>
    <ItemDescription/>
    <ItemType>Text</ItemType>
    <ItemSubtype/>
    <LastUpdated>21/04/2025 11:00:05 +01:00</LastUpdated>
    <CustomXmlPartGuid>{410B1BC6-485F-4569-BA90-F8AF9BFC5329}</CustomXmlPartGuid>
  </CustomXmlPartIndex>
  <CustomXmlPartIndex>
    <CollectionName>HotkeyCommands</CollectionName>
    <ItemName>LkpRC.lambda</ItemName>
    <ItemDescription/>
    <ItemType>Text</ItemType>
    <ItemSubtype/>
    <LastUpdated>21/04/2025 11:00:05 +01:00</LastUpdated>
    <CustomXmlPartGuid>{E888EC11-1EFE-45C6-8C22-9CA4F5AB9AD9}</CustomXmlPartGuid>
  </CustomXmlPartIndex>
  <CustomXmlPartIndex>
    <CollectionName>HotkeyCommands</CollectionName>
    <ItemName>LkpRCByRow.lambda</ItemName>
    <ItemDescription/>
    <ItemType>Text</ItemType>
    <ItemSubtype/>
    <LastUpdated>21/04/2025 11:00:05 +01:00</LastUpdated>
    <CustomXmlPartGuid>{E330786D-6DC9-4669-97BA-097810B0DBC8}</CustomXmlPartGuid>
  </CustomXmlPartIndex>
  <CustomXmlPartIndex>
    <CollectionName>HotkeyCommands</CollectionName>
    <ItemName>RightAlignedArray_byJaqKennedy.lambda</ItemName>
    <ItemDescription/>
    <ItemType>Text</ItemType>
    <ItemSubtype/>
    <LastUpdated>21/04/2025 11:00:05 +01:00</LastUpdated>
    <CustomXmlPartGuid>{1B41C6AB-50E0-406D-9C57-5DB9E67B067E}</CustomXmlPartGuid>
  </CustomXmlPartIndex>
</writeIndexDataTable>
</file>

<file path=customXml/item20.xml><?xml version="1.0" encoding="utf-8"?>
<Text><![CDATA[
LkpRC = LAMBDA(ToFind,Range,LET(\\LambdaName, "LkpRC", \\CommandName, "Lookup RC coordinates ", \\Description, "Looks up RC coordinates of matching cell(s) in range", CHOOSECOLS(FilterArray_byErikOehm(GRIDTOCOL_byLiannaGerrish(Range), {1}, ToFind), {2,3})));
]]></Text>
</file>

<file path=customXml/item21.xml>�� 
</file>

<file path=customXml/item22.xml><?xml version="1.0" encoding="utf-8"?>
<Text><![CDATA[
IFBLANK = LAMBDA(value,value_if_blank, IF(ISBLANK(value), value_if_blank, value));
]]></Text>
</file>

<file path=customXml/item23.xml><?xml version="1.0" encoding="utf-8"?>
<Text><![CDATA[
IsInList_byErikOehm = LAMBDA(array,list,LET(\\LambdaName, "IsInList", MAP(array, LAMBDA(x, OR(list = x)))));
]]></Text>
</file>

<file path=customXml/item24.xml><?xml version="1.0" encoding="utf-8"?>
<JSON><![CDATA[
{
  "Commands": [
    {
      "Name": "Align Array to Right",
      "Description": "Aligns array to the right with blanks to left",
      "Type": "ExcelFormulaCommand",
      "LaunchCodes": [
        "ar"
      ],
      "Formula": "=RightAlignedArray_byJaqKennedy(IFBLANK([[ActiveCell::Formula]],\"\"))",
      "Tags": [
        "WrapWith"
      ],
      "FormulaDependencies": [
        "RightAlignedArray_byJaqKennedy.lambda",
        "IFBLANK.lambda"
      ]
    },
    {
      "Name": "Backup Sheets in Workbook",
      "Description": "Copy all sheets in workbook for backup",
      "Type": "VBAMacroCommand",
      "LaunchCodes": [
        "BU"
      ],
      "MacroExpression": "modCaseSetup.Backup()",
      "Tags": [
        "Prep"
      ],
      "MacroWorkbookConnection": "ThisWorkbook"
    },
    {
      "Name": "Clear Lambdas",
      "Description": "Clear lambdas that aren't in Lambdas table - for Comp Bot maintenance",
      "Type": "VBAMacroCommand",
      "LaunchCodes": [
        "CL"
      ],
      "MacroExpression": "modLambdas.ClearLambdas()",
      "Tags": [
        "Maintenance"
      ]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Prep"
      ],
      "MacroWorkbookConnection": "ThisWorkbook"
    },
    {
      "Name": "Create Bonus Sheet",
      "Description": "Creates bonus sheet \"B\" with bonus questions",
      "Type": "VBAMacroCommand",
      "LaunchCodes": [
        "CB",
        "CBS"
      ],
      "MacroExpression": "modCaseSetup.CreateBonusSheet()",
      "Tags": [
        "Prep"
      ]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Prep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Prep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Prep"
      ]
    },
    {
      "Name": "Default Settings",
      "Description": "Updates default settings to those in Default Settings sheet",
      "Type": "VBAMacroCommand",
      "LaunchCodes": [
        "DS"
      ],
      "MacroExpression": "modMisc.DefaultSettings()",
      "Tags": [
        "Settings"
      ]
    },
    {
      "Name": "Difference of Array Columns by Row",
      "Description": "Returns first column - last column in array",
      "Type": "ExcelFormulaCommand",
      "LaunchCodes": [
        "diff",
        "dbr"
      ],
      "Formula": "=DiffByRow_byJaqKennedy([[ActiveCell::Formula]])",
      "Tags": [
        "WrapWith"
      ],
      "FormulaDependencies": [
        "DiffByRow_byJaqKennedy.lambda"
      ]
    },
    {
      "Name": "Eggy",
      "Description": "Easter Egg Fun",
      "Type": "VBAMacroCommand",
      "MacroExpression": "modUtilities.Eggy()"
    },
    {
      "Name": "Find Above In Left",
      "Description": "Find above value(s) in left value(s).",
      "Type": "ExcelFormulaCommand",
      "LaunchCodes": [
        "fal"
      ],
      "Formula": "=1-ISERROR(FIND([[ActiveCell.Offset(-1,0).SpillParent.SpillingToRange]],[[ActiveCell.Offset(0,-1).SpillParent.SpillingToRange]]))",
      "Tags": [
        "WrapWith"
      ]
    },
    {
      "Name": "Full Setup Case",
      "Description": "Setup case by running Backup and Level sheet creation",
      "Type": "VBAMacroCommand",
      "ShortCutSendKeyString": "^+g",
      "CommandAfter": "Import Lambda Library",
      "LaunchCodes": [
        "SC"
      ],
      "MacroExpression": "modCaseSetup.Setup()",
      "Tags": [
        "Prep"
      ]
    },
    {
      "Name": "Goto Similar Background Color",
      "Description": "Goto similar background color.",
      "Type": "VBAMacroCommand",
      "LaunchCodes": [
        "SBC"
      ],
      "MacroExpression": "modGoToSpecial.GotoSimilarBackgroundColor()",
      "Tags": [
        "GoTo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m\")",
      "Tags": [
        "LAMBDA",
        "Prep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LAMBDA",
        "Prep"
      ]
    },
    {
      "Name": "Keep Cell of Array",
      "Description": "Keep selected cell of array.",
      "Type": "ExcelFormulaCommand",
      "LaunchCodes": [
        "KTC"
      ],
      "Formula": "=CHOOSEROWS(CHOOSECOLS([[ActiveCell.SpillParent::Formula]],{{Selected_Column_Indexes_In_Spilling_Range}}),{{Selected_Row_Indexes_In_Spilling_Range}})",
      "DestinationRangeAddress": "[[ActiveCell.SpillParent]]",
      "Tags": [
        "WrapWith"
      ]
    },
    {
      "Name": "Lookup Value by Row",
      "Description": "Returns RC location of a list of values in a range",
      "Type": "ExcelFormulaCommand",
      "LaunchCodes": [
        "lkp"
      ],
      "Formula": "=LkpRCByRow([[ActiveCell::Formula]], [[Clipboard::Address]])",
      "Tags": [
        "WrapWith"
      ],
      "FormulaDependencies": [
        "LkpRCByRow.lambda",
        "BiRow_byPeterBartholomew.lambda",
        "LkpRC.lambda",
        "FilterArray_byErikOehm.lambda",
        "IsInList_byErikOehm.lambda",
        "GRIDTOCOL_byLiannaGerrish.lambda",
        "ADDRESSES_byDiarmuidEarly.lambda"
      ]
    },
    {
      "Name": "Name All Used Ranges",
      "Description": "Renames used range in all sheets",
      "Type": "VBAMacroCommand",
      "LaunchCodes": [
        "NA",
        "NAUR"
      ],
      "MacroExpression": "modNames.NameAllUsedRanges()",
      "Tags": [
        "Name"
      ]
    },
    {
      "Name": "Name Used Ranges",
      "Description": "Names used range in all sheets starting with the prefix as provided in the active cell",
      "Type": "VBAMacroCommand",
      "LaunchCodes": [
        "NURS"
      ],
      "MacroExpression": "modNames.NameUsedRanges([[ActiveCell]])",
      "Tags": [
        "Name"
      ]
    },
    {
      "Name": "Negative Values",
      "Description": "Negative values. with errors as blank",
      "Type": "ExcelFormulaCommand",
      "LaunchCodes": [
        "neg"
      ],
      "Formula": "=IFERROR(-([[ActiveCell::Formula]]),\"\")",
      "Tags": [
        "WrapWith"
      ]
    },
    {
      "Name": "Rename Sheets",
      "Description": "Rename multi-word sheet names",
      "Type": "VBAMacroCommand",
      "LaunchCodes": [
        "rs"
      ],
      "MacroExpression": "modCaseSetup.RenameSht()",
      "Tags": [
        "Prep"
      ]
    },
    {
      "Name": "Save Answers To Left",
      "Description": "Saves references to the selected cells in the green answer cells to the left on the same row.",
      "Type": "VBAMacroCommand",
      "LaunchCodes": [
        "SAL"
      ],
      "MacroExpression": "modCaseSetup.SaveAnswersToLeft()",
      "Tags": [
        "Paste"
      ]
    },
    {
      "Name": "Save Copy of File",
      "Description": "Enable editing and save copy of file with suffix based on active cell (otherwise Working)",
      "Type": "VBAMacroCommand",
      "LaunchCodes": [
        "SA"
      ],
      "MacroExpression": "modCaseSetup.SaveCopy([[ActiveCell]])",
      "Tags": [
        "Prep"
      ]
    },
    {
      "Name": "Sequence of Row Count",
      "Description": "Sequence of row count of array variable",
      "Type": "ExcelFormulaCommand",
      "LaunchCodes": [
        "src"
      ],
      "Formula": "=SEQUENCE(ROWS([[ActiveCell::Formula]]),1,1,1)",
      "Tags": [
        "WrapWith"
      ]
    },
    {
      "Name": "Split Text by Delimiter Above",
      "Description": "Split text by delimiter in the cell above and trim output.",
      "Type": "ExcelFormulaCommand",
      "LaunchCodes": [
        "ST"
      ],
      "Formula": "=TRIM(TEXTSPLIT([[ActiveCell::Formula]],,[[ActiveCell.Offset(-1,0)]],TRUE))",
      "Tags": [
        "WrapWith"
      ]
    },
    {
      "Name": "Substitute Blank for 0",
      "Description": "Substitute blank values for 0",
      "Type": "ExcelFormulaCommand",
      "LaunchCodes": [
        "sb0"
      ],
      "Formula": "=SUBSTITUTE([[ActiveCell::Formula]],\"\",0)",
      "Tags": [
        "WrapWith"
      ]
    },
    {
      "Name": "Substitute Blank for 1",
      "Description": "Substitute blank cells for 1",
      "Type": "ExcelFormulaCommand",
      "LaunchCodes": [
        "sb1"
      ],
      "Formula": "=SUBSTITUTE([[ActiveCell::Formula]],\"\",1)",
      "Tags": [
        "WrapWith"
      ]
    },
    {
      "Name": "Toggle Calculation Mode",
      "Description": "Toggles calculation mode and places current mode notice in StatusBar",
      "Type": "VBAMacroCommand",
      "LaunchCodes": [
        "TC"
      ],
      "MacroExpression": "modMisc.ToggleCalculationMode()",
      "Tags": [
        "Settings"
      ]
    },
    {
      "Name": "Toggle Iterative Calculation",
      "Description": "Toggles iterative calculation and sets status in status bar",
      "Type": "VBAMacroCommand",
      "LaunchCodes": [
        "IC"
      ],
      "MacroExpression": "modMisc.ToggleIterativeCalculation()",
      "Tags": [
        "Settings"
      ]
    },
    {
      "Name": "Wrap in ABS",
      "Description": "Wrap in abs.",
      "Type": "ExcelFormulaCommand",
      "LaunchCodes": [
        "ABS"
      ],
      "Formula": "=ABS([[ActiveCell::Formula]])",
      "Tags": [
        "WrapWith"
      ]
    },
    {
      "Name": "Wrap in Concat",
      "Description": "Wrap in concat.",
      "Type": "ExcelFormulaCommand",
      "LaunchCodes": [
        "con"
      ],
      "Formula": "=CONCAT([[ActiveCell::Formula]])",
      "Tags": [
        "WrapWith"
      ]
    },
    {
      "Name": "Wrap in Drop First Row",
      "Description": "Wrap in drop first row",
      "Type": "ExcelFormulaCommand",
      "LaunchCodes": [
        "DF"
      ],
      "Formula": "=DROP([[ActiveCell::Formula]],1)",
      "Tags": [
        "WrapWith"
      ]
    },
    {
      "Name": "Wrap in IFERROR with space",
      "Description": "Wrap in iferror.",
      "Type": "ExcelFormulaCommand",
      "LaunchCodes": [
        "err"
      ],
      "Formula": "=IFERROR([[ActiveCell::Formula]],\" \")",
      "Tags": [
        "WrapWith"
      ]
    },
    {
      "Name": "Wrap in Take by Copied Cell Columns",
      "Description": "Wrap in take by copied cell columns.",
      "Type": "ExcelFormulaCommand",
      "LaunchCodes": [
        "TCC"
      ],
      "Formula": "=TAKE([[ActiveCell::Formula]],,[[Clipboard]])",
      "Tags": [
        "WrapWith"
      ]
    },
    {
      "Name": "Wrap in UNICHAR",
      "Description": "Wrap in unichar.",
      "Type": "ExcelFormulaCommand",
      "LaunchCodes": [
        "char"
      ],
      "Formula": "=UNICHAR([[ActiveCell::Formula]])",
      "Tags": [
        "WrapWith"
      ]
    },
    {
      "Name": "Wrap in UNICODE",
      "Description": "Wrap in unicode.",
      "Type": "ExcelFormulaCommand",
      "LaunchCodes": [
        "code"
      ],
      "Formula": "=UNICODE([[ActiveCell::Formula]])",
      "Tags": [
        "WrapWith"
      ]
    },
    {
      "Name": "Wrap with IFERROR TEXTBEFORE space",
      "Description": "Wraps current formula with TEXTBEFORE space with IFERROR in case space doesn't exist",
      "Type": "ExcelFormulaCommand",
      "LaunchCodes": [
        "tbse"
      ],
      "Formula": "=IFERROR(TEXTBEFORE([[ActiveCell::Formula]],\" \"),[[ActiveCell::Formula]])",
      "Tags": [
        "WrapWith"
      ]
    }
  ],
  "Texts": [
    {
      "Name": "ADDRESSES_byDiarmuidEarly.lambda",
      "Description": "Definition of ADDRESSES_byDiarmuidEarly lambda function.",
      "Type": "ExcelNameText",
      "ContentType": "ExcelFormula",
      "Location": "ADDRESSES_byDiarmuidEarly"
    },
    {
      "Name": "BiRow_byPeterBartholomew.lambda",
      "Description": "Definition of BiRow_byPeterBartholomew lambda function.",
      "Type": "ExcelNameText",
      "ContentType": "ExcelFormula",
      "Location": "BiRow_byPeterBartholomew"
    },
    {
      "Name": "DiffByRow_byJaqKennedy.lambda",
      "Description": "Definition of DiffByRow_byJaqKennedy lambda function.",
      "Type": "ExcelNameText",
      "ContentType": "ExcelFormula",
      "Location": "DiffByRow_byJaqKennedy"
    },
    {
      "Name": "FilterArray_byErikOehm.lambda",
      "Description": "Definition of FilterArray_byErikOehm lambda function.",
      "Type": "ExcelNameText",
      "ContentType": "ExcelFormula",
      "Location": "FilterArray_byErikOehm"
    },
    {
      "Name": "GRIDTOCOL_byLiannaGerrish.lambda",
      "Description": "Definition of GRIDTOCOL_byLiannaGerrish lambda function.",
      "Type": "ExcelNameText",
      "ContentType": "ExcelFormula",
      "Location": "GRIDTOCOL_byLiannaGerrish"
    },
    {
      "Name": "IFBLANK.lambda",
      "Description": "Definition of IFBLANK lambda function.",
      "Type": "ExcelNameText",
      "ContentType": "ExcelFormula",
      "Location": "IFBLANK"
    },
    {
      "Name": "IsInList_byErikOehm.lambda",
      "Description": "Definition of IsInList_byErikOehm lambda function.",
      "Type": "ExcelNameText",
      "ContentType": "ExcelFormula",
      "Location": "IsInList_byErikOehm"
    },
    {
      "Name": "LkpRC.lambda",
      "Description": "Definition of LkpRC lambda function.",
      "Type": "ExcelNameText",
      "ContentType": "ExcelFormula",
      "Location": "LkpRC"
    },
    {
      "Name": "LkpRCByRow.lambda",
      "Description": "Definition of LkpRCByRow lambda function.",
      "Type": "ExcelNameText",
      "ContentType": "ExcelFormula",
      "Location": "LkpRCByRow"
    },
    {
      "Name": "RightAlignedArray_byJaqKennedy.lambda",
      "Description": "Definition of RightAlignedArray_byJaqKennedy lambda function.",
      "Type": "ExcelNameText",
      "ContentType": "ExcelFormula",
      "Location": "RightAlignedArray_byJaqKennedy"
    }
  ]
}
]]></JSON>
</file>

<file path=customXml/item25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18/04/2025 21:40:20 +01:00</LastUpdated>
    <CustomXmlPartGuid>{60136850-0A80-46DA-A7BC-83E4B88FD331}</CustomXmlPartGuid>
  </CustomXmlPartIndex>
  <CustomXmlPartIndex>
    <CollectionName>HotkeyCommands</CollectionName>
    <ItemName>ADDRESSES_byDiarmuidEarly.lambda</ItemName>
    <ItemDescription/>
    <ItemType>Text</ItemType>
    <ItemSubtype/>
    <LastUpdated>18/04/2025 21:40:20 +01:00</LastUpdated>
    <CustomXmlPartGuid>{9C3962FE-B426-46FD-8FB0-7535580B8A92}</CustomXmlPartGuid>
  </CustomXmlPartIndex>
  <CustomXmlPartIndex>
    <CollectionName>HotkeyCommands</CollectionName>
    <ItemName>BiRow.lambda</ItemName>
    <ItemDescription/>
    <ItemType>Text</ItemType>
    <ItemSubtype/>
    <LastUpdated>18/04/2025 21:40:20 +01:00</LastUpdated>
    <CustomXmlPartGuid>{D2670061-FB7D-41F0-AB90-118C32DC6B5A}</CustomXmlPartGuid>
  </CustomXmlPartIndex>
  <CustomXmlPartIndex>
    <CollectionName>HotkeyCommands</CollectionName>
    <ItemName>DiffByRow_byJaqKennedy.lambda</ItemName>
    <ItemDescription/>
    <ItemType>Text</ItemType>
    <ItemSubtype/>
    <LastUpdated>18/04/2025 21:40:20 +01:00</LastUpdated>
    <CustomXmlPartGuid>{1A9F9B0F-1F08-4F37-9A0C-B6CBC0761010}</CustomXmlPartGuid>
  </CustomXmlPartIndex>
  <CustomXmlPartIndex>
    <CollectionName>HotkeyCommands</CollectionName>
    <ItemName>FilterArray.lambda</ItemName>
    <ItemDescription/>
    <ItemType>Text</ItemType>
    <ItemSubtype/>
    <LastUpdated>18/04/2025 21:40:20 +01:00</LastUpdated>
    <CustomXmlPartGuid>{A83826B5-B686-40BC-844F-041648993120}</CustomXmlPartGuid>
  </CustomXmlPartIndex>
  <CustomXmlPartIndex>
    <CollectionName>HotkeyCommands</CollectionName>
    <ItemName>GRIDTOCOL_byLiannaGerrish.lambda</ItemName>
    <ItemDescription/>
    <ItemType>Text</ItemType>
    <ItemSubtype/>
    <LastUpdated>18/04/2025 21:40:20 +01:00</LastUpdated>
    <CustomXmlPartGuid>{4E9FD6E5-37CB-441F-9645-F6D489E32598}</CustomXmlPartGuid>
  </CustomXmlPartIndex>
  <CustomXmlPartIndex>
    <CollectionName>HotkeyCommands</CollectionName>
    <ItemName>IFBLANK.lambda</ItemName>
    <ItemDescription/>
    <ItemType>Text</ItemType>
    <ItemSubtype/>
    <LastUpdated>18/04/2025 21:40:20 +01:00</LastUpdated>
    <CustomXmlPartGuid>{B3FD0068-9C97-44E4-93C5-75B53553265A}</CustomXmlPartGuid>
  </CustomXmlPartIndex>
  <CustomXmlPartIndex>
    <CollectionName>HotkeyCommands</CollectionName>
    <ItemName>IsInList.lambda</ItemName>
    <ItemDescription/>
    <ItemType>Text</ItemType>
    <ItemSubtype/>
    <LastUpdated>18/04/2025 21:40:20 +01:00</LastUpdated>
    <CustomXmlPartGuid>{2EC15307-E297-4155-8C64-BD7C819FC834}</CustomXmlPartGuid>
  </CustomXmlPartIndex>
  <CustomXmlPartIndex>
    <CollectionName>HotkeyCommands</CollectionName>
    <ItemName>LkpRC.lambda</ItemName>
    <ItemDescription/>
    <ItemType>Text</ItemType>
    <ItemSubtype/>
    <LastUpdated>18/04/2025 21:40:20 +01:00</LastUpdated>
    <CustomXmlPartGuid>{148CA7B6-1095-4B59-A609-F0DD3983C05B}</CustomXmlPartGuid>
  </CustomXmlPartIndex>
  <CustomXmlPartIndex>
    <CollectionName>HotkeyCommands</CollectionName>
    <ItemName>LkpRCByRow.lambda</ItemName>
    <ItemDescription/>
    <ItemType>Text</ItemType>
    <ItemSubtype/>
    <LastUpdated>18/04/2025 21:40:20 +01:00</LastUpdated>
    <CustomXmlPartGuid>{77900331-8BCF-4A61-83B4-0F22D244E56E}</CustomXmlPartGuid>
  </CustomXmlPartIndex>
  <CustomXmlPartIndex>
    <CollectionName>HotkeyCommands</CollectionName>
    <ItemName>RightAlignedArray_byJaqKennedy.lambda</ItemName>
    <ItemDescription/>
    <ItemType>Text</ItemType>
    <ItemSubtype/>
    <LastUpdated>18/04/2025 21:40:20 +01:00</LastUpdated>
    <CustomXmlPartGuid>{CC8676E6-6DD4-4D3A-B5C3-FEDBE93B926B}</CustomXmlPartGuid>
  </CustomXmlPartIndex>
</writeIndexDataTable>
</file>

<file path=customXml/item26.xml><?xml version="1.0" encoding="utf-8"?>
<Text><![CDATA[
LkpRCByRow = LAMBDA(ToFind,Range,LET(\\LambdaName, "LkpRCByRow", \\CommandName, "Lookup Value by Row", \\Description, "Returns RC location of a list of values in a range", \\Source, "Jaq Kennedy", BiRow_byPeterBartholomew(ToFind, LAMBDA(a, IFERROR(CHOOSEROWS(LkpRC(a, Range), 1), {"",""})))));
]]></Text>
</file>

<file path=customXml/itemProps1.xml><?xml version="1.0" encoding="utf-8"?>
<ds:datastoreItem xmlns:ds="http://schemas.openxmlformats.org/officeDocument/2006/customXml" ds:itemID="{85C0B66C-80EA-473B-810E-3F8477191A87}">
  <ds:schemaRefs/>
</ds:datastoreItem>
</file>

<file path=customXml/itemProps2.xml><?xml version="1.0" encoding="utf-8"?>
<ds:datastoreItem xmlns:ds="http://schemas.openxmlformats.org/officeDocument/2006/customXml" ds:itemID="{60136850-0A80-46DA-A7BC-83E4B88FD331}">
  <ds:schemaRefs/>
</ds:datastoreItem>
</file>

<file path=customXml/itemProps3.xml><?xml version="1.0" encoding="utf-8"?>
<ds:datastoreItem xmlns:ds="http://schemas.openxmlformats.org/officeDocument/2006/customXml" ds:itemID="{A7D3DD68-9D1C-490D-83E8-EA073A4DAEAB}">
  <ds:schemaRefs/>
</ds:datastoreItem>
</file>

<file path=customXml/itemProps4.xml><?xml version="1.0" encoding="utf-8"?>
<ds:datastoreItem xmlns:ds="http://schemas.openxmlformats.org/officeDocument/2006/customXml" ds:itemID="{BA2A756B-CCFF-4D9F-9086-30B75FE80E63}">
  <ds:schemaRefs/>
</ds:datastoreItem>
</file>

<file path=customXml/itemProps5.xml><?xml version="1.0" encoding="utf-8"?>
<ds:datastoreItem xmlns:ds="http://schemas.openxmlformats.org/officeDocument/2006/customXml" ds:itemID="{A83826B5-B686-40BC-844F-041648993120}">
  <ds:schemaRefs/>
</ds:datastoreItem>
</file>

<file path=customXml/itemProps6.xml><?xml version="1.0" encoding="utf-8"?>
<ds:datastoreItem xmlns:ds="http://schemas.openxmlformats.org/officeDocument/2006/customXml" ds:itemID="{D2670061-FB7D-41F0-AB90-118C32DC6B5A}">
  <ds:schemaRefs/>
</ds:datastoreItem>
</file>

<file path=customXml/itemProps7.xml><?xml version="1.0" encoding="utf-8"?>
<ds:datastoreItem xmlns:ds="http://schemas.openxmlformats.org/officeDocument/2006/customXml" ds:itemID="{05268766-9FF0-4B10-843A-48604AB44403}">
  <ds:schemaRefs/>
</ds:datastoreItem>
</file>

<file path=customXml/itemProps8.xml><?xml version="1.0" encoding="utf-8"?>
<ds:datastoreItem xmlns:ds="http://schemas.openxmlformats.org/officeDocument/2006/customXml" ds:itemID="{51825235-BDD4-45E9-9DF5-0C5C86BC4E6C}">
  <ds:schemaRefs/>
</ds:datastoreItem>
</file>

<file path=customXml/itemProps9.xml><?xml version="1.0" encoding="utf-8"?>
<ds:datastoreItem xmlns:ds="http://schemas.openxmlformats.org/officeDocument/2006/customXml" ds:itemID="{148CA7B6-1095-4B59-A609-F0DD3983C05B}">
  <ds:schemaRefs/>
</ds:datastoreItem>
</file>

<file path=customXml/itemProps10.xml><?xml version="1.0" encoding="utf-8"?>
<ds:datastoreItem xmlns:ds="http://schemas.openxmlformats.org/officeDocument/2006/customXml" ds:itemID="{77900331-8BCF-4A61-83B4-0F22D244E56E}">
  <ds:schemaRefs/>
</ds:datastoreItem>
</file>

<file path=customXml/itemProps11.xml><?xml version="1.0" encoding="utf-8"?>
<ds:datastoreItem xmlns:ds="http://schemas.openxmlformats.org/officeDocument/2006/customXml" ds:itemID="{2EC15307-E297-4155-8C64-BD7C819FC834}">
  <ds:schemaRefs/>
</ds:datastoreItem>
</file>

<file path=customXml/itemProps12.xml><?xml version="1.0" encoding="utf-8"?>
<ds:datastoreItem xmlns:ds="http://schemas.openxmlformats.org/officeDocument/2006/customXml" ds:itemID="{9C3962FE-B426-46FD-8FB0-7535580B8A92}">
  <ds:schemaRefs/>
</ds:datastoreItem>
</file>

<file path=customXml/itemProps13.xml><?xml version="1.0" encoding="utf-8"?>
<ds:datastoreItem xmlns:ds="http://schemas.openxmlformats.org/officeDocument/2006/customXml" ds:itemID="{1A9F9B0F-1F08-4F37-9A0C-B6CBC0761010}">
  <ds:schemaRefs/>
</ds:datastoreItem>
</file>

<file path=customXml/itemProps14.xml><?xml version="1.0" encoding="utf-8"?>
<ds:datastoreItem xmlns:ds="http://schemas.openxmlformats.org/officeDocument/2006/customXml" ds:itemID="{79C38505-B4DC-4293-8697-7DBF85E41979}">
  <ds:schemaRefs/>
</ds:datastoreItem>
</file>

<file path=customXml/itemProps15.xml><?xml version="1.0" encoding="utf-8"?>
<ds:datastoreItem xmlns:ds="http://schemas.openxmlformats.org/officeDocument/2006/customXml" ds:itemID="{1B41C6AB-50E0-406D-9C57-5DB9E67B067E}">
  <ds:schemaRefs/>
</ds:datastoreItem>
</file>

<file path=customXml/itemProps16.xml><?xml version="1.0" encoding="utf-8"?>
<ds:datastoreItem xmlns:ds="http://schemas.openxmlformats.org/officeDocument/2006/customXml" ds:itemID="{DB75D044-D14C-46B9-B18F-FB21AE37D1B1}">
  <ds:schemaRefs>
    <ds:schemaRef ds:uri="http://schemas.advancedformulaenvironment.officeapps.live.com/afejsonblob/1.0"/>
  </ds:schemaRefs>
</ds:datastoreItem>
</file>

<file path=customXml/itemProps17.xml><?xml version="1.0" encoding="utf-8"?>
<ds:datastoreItem xmlns:ds="http://schemas.openxmlformats.org/officeDocument/2006/customXml" ds:itemID="{4E9FD6E5-37CB-441F-9645-F6D489E32598}">
  <ds:schemaRefs/>
</ds:datastoreItem>
</file>

<file path=customXml/itemProps18.xml><?xml version="1.0" encoding="utf-8"?>
<ds:datastoreItem xmlns:ds="http://schemas.openxmlformats.org/officeDocument/2006/customXml" ds:itemID="{CC8676E6-6DD4-4D3A-B5C3-FEDBE93B926B}">
  <ds:schemaRefs/>
</ds:datastoreItem>
</file>

<file path=customXml/itemProps19.xml><?xml version="1.0" encoding="utf-8"?>
<ds:datastoreItem xmlns:ds="http://schemas.openxmlformats.org/officeDocument/2006/customXml" ds:itemID="{49A644F6-C372-4E3F-9C6D-980388F81CE4}">
  <ds:schemaRefs>
    <ds:schemaRef ds:uri=""/>
    <ds:schemaRef ds:uri="http://www.w3.org/2001/XMLSchema"/>
    <ds:schemaRef ds:uri="urn:schemas-microsoft-com:xml-msdata"/>
  </ds:schemaRefs>
</ds:datastoreItem>
</file>

<file path=customXml/itemProps20.xml><?xml version="1.0" encoding="utf-8"?>
<ds:datastoreItem xmlns:ds="http://schemas.openxmlformats.org/officeDocument/2006/customXml" ds:itemID="{E888EC11-1EFE-45C6-8C22-9CA4F5AB9AD9}">
  <ds:schemaRefs/>
</ds:datastoreItem>
</file>

<file path=customXml/itemProps21.xml><?xml version="1.0" encoding="utf-8"?>
<ds:datastoreItem xmlns:ds="http://schemas.openxmlformats.org/officeDocument/2006/customXml" ds:itemID="{05553D37-558F-48A1-9DC4-4CE07CDFF43D}">
  <ds:schemaRefs>
    <ds:schemaRef ds:uri="http://schemas.microsoft.com/DataMashup"/>
  </ds:schemaRefs>
</ds:datastoreItem>
</file>

<file path=customXml/itemProps22.xml><?xml version="1.0" encoding="utf-8"?>
<ds:datastoreItem xmlns:ds="http://schemas.openxmlformats.org/officeDocument/2006/customXml" ds:itemID="{B3FD0068-9C97-44E4-93C5-75B53553265A}">
  <ds:schemaRefs/>
</ds:datastoreItem>
</file>

<file path=customXml/itemProps23.xml><?xml version="1.0" encoding="utf-8"?>
<ds:datastoreItem xmlns:ds="http://schemas.openxmlformats.org/officeDocument/2006/customXml" ds:itemID="{410B1BC6-485F-4569-BA90-F8AF9BFC5329}">
  <ds:schemaRefs/>
</ds:datastoreItem>
</file>

<file path=customXml/itemProps24.xml><?xml version="1.0" encoding="utf-8"?>
<ds:datastoreItem xmlns:ds="http://schemas.openxmlformats.org/officeDocument/2006/customXml" ds:itemID="{B29441DE-9450-4C77-8FDD-71E30398E5D5}">
  <ds:schemaRefs/>
</ds:datastoreItem>
</file>

<file path=customXml/itemProps25.xml><?xml version="1.0" encoding="utf-8"?>
<ds:datastoreItem xmlns:ds="http://schemas.openxmlformats.org/officeDocument/2006/customXml" ds:itemID="{E97150ED-ED5F-4236-9280-E4377CB8776F}">
  <ds:schemaRefs>
    <ds:schemaRef ds:uri=""/>
    <ds:schemaRef ds:uri="http://www.w3.org/2001/XMLSchema"/>
    <ds:schemaRef ds:uri="urn:schemas-microsoft-com:xml-msdata"/>
  </ds:schemaRefs>
</ds:datastoreItem>
</file>

<file path=customXml/itemProps26.xml><?xml version="1.0" encoding="utf-8"?>
<ds:datastoreItem xmlns:ds="http://schemas.openxmlformats.org/officeDocument/2006/customXml" ds:itemID="{E330786D-6DC9-4669-97BA-097810B0DBC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Info_Robot Commands</vt:lpstr>
      <vt:lpstr>Default Settings</vt:lpstr>
      <vt:lpstr>Info_Lambdas</vt:lpstr>
      <vt:lpstr>Lambdas List</vt:lpstr>
      <vt:lpstr>Load Lambdas</vt:lpstr>
      <vt:lpstr>SpeedRun Steps</vt:lpstr>
      <vt:lpstr>Decimal_Separator</vt:lpstr>
      <vt:lpstr>Language</vt:lpstr>
      <vt:lpstr>List_Separator</vt:lpstr>
      <vt:lpstr>Thousands_Separator</vt:lpstr>
      <vt:lpstr>Use_System_Separators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 Kennedy</dc:creator>
  <cp:lastModifiedBy>David Murtin</cp:lastModifiedBy>
  <dcterms:created xsi:type="dcterms:W3CDTF">2025-01-03T14:23:42Z</dcterms:created>
  <dcterms:modified xsi:type="dcterms:W3CDTF">2026-02-03T20:40:32Z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{49A644F6-C372-4E3F-9C6D-980388F81CE4}</vt:lpwstr>
  </property>
  <property fmtid="{D5CDD505-2E9C-101B-9397-08002B2CF9AE}" pid="3" name="OA Tools Last Modified">
    <vt:lpwstr>2025-04-21 10:00:05 UTC</vt:lpwstr>
  </property>
  <property fmtid="{D5CDD505-2E9C-101B-9397-08002B2CF9AE}" pid="4" name="Last Edited">
    <vt:lpwstr>25/04/2025 19:08:51 +00:00</vt:lpwstr>
  </property>
</Properties>
</file>